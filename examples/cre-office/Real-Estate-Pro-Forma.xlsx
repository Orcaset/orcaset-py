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jordan/Code/tmp/mf-cases/1201-broadway/"/>
    </mc:Choice>
  </mc:AlternateContent>
  <xr:revisionPtr revIDLastSave="0" documentId="13_ncr:1_{0D980285-7D15-7E4B-96A2-8477B3F9047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ffice-Retail-Pro-Forma" sheetId="1" r:id="rId1"/>
  </sheets>
  <definedNames>
    <definedName name="Asset_Mgmt_Fee">'Office-Retail-Pro-Forma'!$E$38</definedName>
    <definedName name="CAM_Growth">'Office-Retail-Pro-Forma'!$E$16</definedName>
    <definedName name="CAM_per_SF">'Office-Retail-Pro-Forma'!$E$15</definedName>
    <definedName name="Down_Months">'Office-Retail-Pro-Forma'!$E$60</definedName>
    <definedName name="Entry_Fee_Pct">'Office-Retail-Pro-Forma'!$E$29</definedName>
    <definedName name="Entry_Price">'Office-Retail-Pro-Forma'!$E$25</definedName>
    <definedName name="Exit_Cap_Rate">'Office-Retail-Pro-Forma'!$K$24</definedName>
    <definedName name="Exit_Fee_Pct">'Office-Retail-Pro-Forma'!$K$29</definedName>
    <definedName name="Exit_Price">'Office-Retail-Pro-Forma'!$K$26</definedName>
    <definedName name="GP_Name">'Office-Retail-Pro-Forma'!$E$25</definedName>
    <definedName name="Insurance_Growth">'Office-Retail-Pro-Forma'!$E$19</definedName>
    <definedName name="Insurance_per_SF">'Office-Retail-Pro-Forma'!$E$18</definedName>
    <definedName name="IRR_Hurdle">'Office-Retail-Pro-Forma'!$E$40</definedName>
    <definedName name="Loan_Fees">'Office-Retail-Pro-Forma'!$E$30</definedName>
    <definedName name="LP_Equity">'Office-Retail-Pro-Forma'!$E$51</definedName>
    <definedName name="LP_Equity_Pct">'Office-Retail-Pro-Forma'!$E$43</definedName>
    <definedName name="Mezzanine">'Office-Retail-Pro-Forma'!$E$49</definedName>
    <definedName name="Mezzanine_Cash_Interest">'Office-Retail-Pro-Forma'!$K$33</definedName>
    <definedName name="Mezzanine_LTV">'Office-Retail-Pro-Forma'!$K$32</definedName>
    <definedName name="Mezzanine_PIK_Interest">'Office-Retail-Pro-Forma'!$K$34</definedName>
    <definedName name="Months">'Office-Retail-Pro-Forma'!$E$10</definedName>
    <definedName name="New_Free_Rent_Months">'Office-Retail-Pro-Forma'!$E$63</definedName>
    <definedName name="New_LC_Pct">'Office-Retail-Pro-Forma'!$E$65</definedName>
    <definedName name="New_Lease_Years">'Office-Retail-Pro-Forma'!$E$58</definedName>
    <definedName name="New_TIs">'Office-Retail-Pro-Forma'!$E$64</definedName>
    <definedName name="OP_Equity">'Office-Retail-Pro-Forma'!$E$50</definedName>
    <definedName name="Op_Equity_Pct">'Office-Retail-Pro-Forma'!$E$37</definedName>
    <definedName name="Op_Partner_Promote">'Office-Retail-Pro-Forma'!$E$41</definedName>
    <definedName name="Op_Partner_Split_Below_Hurdle">'Office-Retail-Pro-Forma'!$E$39</definedName>
    <definedName name="_xlnm.Print_Area" localSheetId="0">'Office-Retail-Pro-Forma'!$A$1:$M$196</definedName>
    <definedName name="Prop_Mgmt_Fees">'Office-Retail-Pro-Forma'!$E$13</definedName>
    <definedName name="Property_Name">'Office-Retail-Pro-Forma'!$E$7</definedName>
    <definedName name="RE_Taxes_Growth_Rate">'Office-Retail-Pro-Forma'!$K$8</definedName>
    <definedName name="RE_Taxes_Pct_Property_Value">'Office-Retail-Pro-Forma'!$K$7</definedName>
    <definedName name="Renewal_Free_Rent_Months">'Office-Retail-Pro-Forma'!$F$63</definedName>
    <definedName name="Renewal_LC_Pct">'Office-Retail-Pro-Forma'!$F$65</definedName>
    <definedName name="Renewal_Probability">'Office-Retail-Pro-Forma'!$E$59</definedName>
    <definedName name="Renewal_TIs">'Office-Retail-Pro-Forma'!$F$64</definedName>
    <definedName name="Rentable_SF">'Office-Retail-Pro-Forma'!$E$11</definedName>
    <definedName name="Reserve_Growth_Rate">'Office-Retail-Pro-Forma'!$K$11</definedName>
    <definedName name="Reserve_per_SF">'Office-Retail-Pro-Forma'!$K$10</definedName>
    <definedName name="Sale_Date">'Office-Retail-Pro-Forma'!$K$23</definedName>
    <definedName name="Senior_Loan">'Office-Retail-Pro-Forma'!$E$48</definedName>
    <definedName name="Senior_Loan_Amort_Period">'Office-Retail-Pro-Forma'!$E$34</definedName>
    <definedName name="Senior_Loan_Interest_Rate">'Office-Retail-Pro-Forma'!$E$33</definedName>
    <definedName name="Senior_Loan_Term">'Office-Retail-Pro-Forma'!$E$35</definedName>
    <definedName name="Senior_LTV">'Office-Retail-Pro-Forma'!$E$32</definedName>
    <definedName name="Start_Date">'Office-Retail-Pro-Forma'!$E$23</definedName>
    <definedName name="Utilities_Growth">'Office-Retail-Pro-Forma'!$K$14</definedName>
    <definedName name="Utilities_per_SF">'Office-Retail-Pro-Forma'!$K$13</definedName>
  </definedNames>
  <calcPr calcId="191029" calcMode="autoNoTable" iterate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G115" i="1"/>
  <c r="H115" i="1"/>
  <c r="I115" i="1"/>
  <c r="J115" i="1"/>
  <c r="K115" i="1"/>
  <c r="L115" i="1"/>
  <c r="F115" i="1"/>
  <c r="F133" i="1"/>
  <c r="G133" i="1" s="1"/>
  <c r="H133" i="1" s="1"/>
  <c r="I133" i="1" s="1"/>
  <c r="J133" i="1" s="1"/>
  <c r="K133" i="1" s="1"/>
  <c r="L133" i="1" s="1"/>
  <c r="F132" i="1"/>
  <c r="G132" i="1" s="1"/>
  <c r="H132" i="1" s="1"/>
  <c r="I132" i="1" s="1"/>
  <c r="J132" i="1" s="1"/>
  <c r="K132" i="1" s="1"/>
  <c r="L132" i="1" s="1"/>
  <c r="K51" i="1"/>
  <c r="E111" i="1" s="1"/>
  <c r="J185" i="1" l="1"/>
  <c r="I185" i="1"/>
  <c r="H185" i="1"/>
  <c r="G185" i="1"/>
  <c r="J184" i="1"/>
  <c r="I184" i="1"/>
  <c r="H184" i="1"/>
  <c r="G184" i="1"/>
  <c r="E43" i="1"/>
  <c r="L110" i="1" l="1"/>
  <c r="L141" i="1" s="1"/>
  <c r="K110" i="1"/>
  <c r="K141" i="1" s="1"/>
  <c r="H110" i="1"/>
  <c r="H141" i="1" s="1"/>
  <c r="G110" i="1"/>
  <c r="G141" i="1" s="1"/>
  <c r="F110" i="1"/>
  <c r="F141" i="1" s="1"/>
  <c r="F126" i="1"/>
  <c r="L123" i="1"/>
  <c r="K123" i="1"/>
  <c r="H123" i="1"/>
  <c r="G123" i="1"/>
  <c r="L122" i="1"/>
  <c r="K122" i="1"/>
  <c r="H122" i="1"/>
  <c r="G122" i="1"/>
  <c r="F123" i="1"/>
  <c r="F122" i="1"/>
  <c r="F74" i="1"/>
  <c r="F87" i="1"/>
  <c r="F102" i="1"/>
  <c r="F135" i="1"/>
  <c r="F131" i="1"/>
  <c r="E25" i="1"/>
  <c r="F174" i="1" s="1"/>
  <c r="G99" i="1"/>
  <c r="H99" i="1" s="1"/>
  <c r="I99" i="1" s="1"/>
  <c r="J99" i="1" s="1"/>
  <c r="K99" i="1" s="1"/>
  <c r="L99" i="1" s="1"/>
  <c r="L102" i="1" s="1"/>
  <c r="J90" i="1"/>
  <c r="G84" i="1"/>
  <c r="H84" i="1" s="1"/>
  <c r="I84" i="1" s="1"/>
  <c r="J84" i="1" s="1"/>
  <c r="K84" i="1" s="1"/>
  <c r="L84" i="1" s="1"/>
  <c r="L87" i="1" s="1"/>
  <c r="I77" i="1"/>
  <c r="G71" i="1"/>
  <c r="G126" i="1" s="1"/>
  <c r="F121" i="1" l="1"/>
  <c r="J91" i="1"/>
  <c r="J110" i="1" s="1"/>
  <c r="J141" i="1" s="1"/>
  <c r="H87" i="1"/>
  <c r="I87" i="1"/>
  <c r="K87" i="1"/>
  <c r="G87" i="1"/>
  <c r="G74" i="1"/>
  <c r="H71" i="1"/>
  <c r="I71" i="1" s="1"/>
  <c r="J71" i="1" s="1"/>
  <c r="K71" i="1" s="1"/>
  <c r="K126" i="1" s="1"/>
  <c r="E49" i="1"/>
  <c r="F156" i="1" s="1"/>
  <c r="K50" i="1"/>
  <c r="K49" i="1"/>
  <c r="K48" i="1"/>
  <c r="E48" i="1"/>
  <c r="J87" i="1"/>
  <c r="G102" i="1"/>
  <c r="F134" i="1"/>
  <c r="F108" i="1" s="1"/>
  <c r="F142" i="1"/>
  <c r="F111" i="1" s="1"/>
  <c r="I102" i="1"/>
  <c r="J102" i="1"/>
  <c r="H102" i="1"/>
  <c r="K102" i="1"/>
  <c r="G131" i="1"/>
  <c r="G135" i="1"/>
  <c r="H135" i="1" s="1"/>
  <c r="I135" i="1" s="1"/>
  <c r="J135" i="1" s="1"/>
  <c r="K135" i="1" s="1"/>
  <c r="L135" i="1" s="1"/>
  <c r="G121" i="1" l="1"/>
  <c r="J74" i="1"/>
  <c r="J121" i="1" s="1"/>
  <c r="H74" i="1"/>
  <c r="H121" i="1" s="1"/>
  <c r="I126" i="1"/>
  <c r="I74" i="1"/>
  <c r="I121" i="1" s="1"/>
  <c r="J126" i="1"/>
  <c r="H126" i="1"/>
  <c r="K52" i="1"/>
  <c r="L71" i="1"/>
  <c r="K74" i="1"/>
  <c r="K121" i="1" s="1"/>
  <c r="I78" i="1"/>
  <c r="I110" i="1" s="1"/>
  <c r="I141" i="1" s="1"/>
  <c r="J89" i="1"/>
  <c r="J123" i="1" s="1"/>
  <c r="J88" i="1"/>
  <c r="J122" i="1" s="1"/>
  <c r="F155" i="1"/>
  <c r="G153" i="1"/>
  <c r="G156" i="1" s="1"/>
  <c r="G148" i="1"/>
  <c r="F180" i="1"/>
  <c r="F175" i="1"/>
  <c r="G134" i="1"/>
  <c r="G108" i="1" s="1"/>
  <c r="F93" i="1"/>
  <c r="F124" i="1" s="1"/>
  <c r="F125" i="1" s="1"/>
  <c r="F127" i="1" s="1"/>
  <c r="F130" i="1" s="1"/>
  <c r="F136" i="1" s="1"/>
  <c r="F138" i="1" s="1"/>
  <c r="G142" i="1"/>
  <c r="G111" i="1" s="1"/>
  <c r="H142" i="1" s="1"/>
  <c r="H131" i="1"/>
  <c r="I75" i="1" l="1"/>
  <c r="I122" i="1" s="1"/>
  <c r="I76" i="1"/>
  <c r="I123" i="1" s="1"/>
  <c r="L74" i="1"/>
  <c r="L121" i="1" s="1"/>
  <c r="L126" i="1"/>
  <c r="G93" i="1"/>
  <c r="G124" i="1" s="1"/>
  <c r="G125" i="1" s="1"/>
  <c r="G127" i="1" s="1"/>
  <c r="G130" i="1" s="1"/>
  <c r="G136" i="1" s="1"/>
  <c r="G138" i="1" s="1"/>
  <c r="E27" i="1" s="1"/>
  <c r="H134" i="1"/>
  <c r="H108" i="1" s="1"/>
  <c r="F157" i="1"/>
  <c r="E51" i="1"/>
  <c r="E50" i="1"/>
  <c r="H153" i="1"/>
  <c r="H156" i="1" s="1"/>
  <c r="H148" i="1"/>
  <c r="F139" i="1"/>
  <c r="F144" i="1"/>
  <c r="F145" i="1" s="1"/>
  <c r="I131" i="1"/>
  <c r="H111" i="1"/>
  <c r="G144" i="1" l="1"/>
  <c r="G145" i="1" s="1"/>
  <c r="G139" i="1"/>
  <c r="I153" i="1"/>
  <c r="I156" i="1" s="1"/>
  <c r="I148" i="1"/>
  <c r="F188" i="1"/>
  <c r="E52" i="1"/>
  <c r="G159" i="1"/>
  <c r="I134" i="1"/>
  <c r="H93" i="1"/>
  <c r="H124" i="1" s="1"/>
  <c r="H125" i="1" s="1"/>
  <c r="H127" i="1" s="1"/>
  <c r="H130" i="1" s="1"/>
  <c r="H136" i="1" s="1"/>
  <c r="H138" i="1" s="1"/>
  <c r="J131" i="1"/>
  <c r="I142" i="1"/>
  <c r="I108" i="1" l="1"/>
  <c r="I93" i="1"/>
  <c r="G173" i="1"/>
  <c r="G175" i="1" s="1"/>
  <c r="F194" i="1"/>
  <c r="F189" i="1"/>
  <c r="J153" i="1"/>
  <c r="J156" i="1" s="1"/>
  <c r="J148" i="1"/>
  <c r="J134" i="1"/>
  <c r="J108" i="1" s="1"/>
  <c r="I124" i="1"/>
  <c r="I125" i="1" s="1"/>
  <c r="I127" i="1" s="1"/>
  <c r="I130" i="1" s="1"/>
  <c r="I136" i="1" s="1"/>
  <c r="I138" i="1" s="1"/>
  <c r="H159" i="1"/>
  <c r="H139" i="1"/>
  <c r="H144" i="1"/>
  <c r="K131" i="1"/>
  <c r="I111" i="1"/>
  <c r="I144" i="1" l="1"/>
  <c r="I145" i="1" s="1"/>
  <c r="I139" i="1"/>
  <c r="I159" i="1"/>
  <c r="K134" i="1"/>
  <c r="K108" i="1" s="1"/>
  <c r="J93" i="1"/>
  <c r="J124" i="1" s="1"/>
  <c r="J125" i="1" s="1"/>
  <c r="J127" i="1" s="1"/>
  <c r="J130" i="1" s="1"/>
  <c r="J136" i="1" s="1"/>
  <c r="J138" i="1" s="1"/>
  <c r="K153" i="1"/>
  <c r="K156" i="1" s="1"/>
  <c r="K148" i="1"/>
  <c r="H145" i="1"/>
  <c r="H173" i="1"/>
  <c r="H175" i="1" s="1"/>
  <c r="L131" i="1"/>
  <c r="J142" i="1"/>
  <c r="I173" i="1" l="1"/>
  <c r="I175" i="1" s="1"/>
  <c r="J159" i="1"/>
  <c r="J139" i="1"/>
  <c r="L134" i="1"/>
  <c r="L93" i="1" s="1"/>
  <c r="K93" i="1"/>
  <c r="K124" i="1" s="1"/>
  <c r="K125" i="1" s="1"/>
  <c r="K127" i="1" s="1"/>
  <c r="K130" i="1" s="1"/>
  <c r="K136" i="1" s="1"/>
  <c r="K138" i="1" s="1"/>
  <c r="J144" i="1"/>
  <c r="J145" i="1" s="1"/>
  <c r="J111" i="1"/>
  <c r="L108" i="1" l="1"/>
  <c r="L124" i="1" s="1"/>
  <c r="L125" i="1" s="1"/>
  <c r="L127" i="1" s="1"/>
  <c r="L130" i="1" s="1"/>
  <c r="L136" i="1" s="1"/>
  <c r="L138" i="1" s="1"/>
  <c r="K26" i="1" s="1"/>
  <c r="K159" i="1"/>
  <c r="K139" i="1"/>
  <c r="J173" i="1"/>
  <c r="J175" i="1" s="1"/>
  <c r="K142" i="1"/>
  <c r="K144" i="1" s="1"/>
  <c r="L139" i="1" l="1"/>
  <c r="K27" i="1"/>
  <c r="K171" i="1"/>
  <c r="K184" i="1" s="1"/>
  <c r="K172" i="1"/>
  <c r="K185" i="1" s="1"/>
  <c r="K145" i="1"/>
  <c r="K173" i="1"/>
  <c r="K111" i="1"/>
  <c r="K175" i="1" l="1"/>
  <c r="F177" i="1" s="1"/>
  <c r="F179" i="1"/>
  <c r="F181" i="1" s="1"/>
  <c r="L142" i="1"/>
  <c r="L144" i="1" s="1"/>
  <c r="L145" i="1" s="1"/>
  <c r="L111" i="1" l="1"/>
  <c r="B2" i="1" l="1"/>
  <c r="J21" i="1" l="1"/>
  <c r="D168" i="1" l="1"/>
  <c r="G167" i="1"/>
  <c r="F167" i="1"/>
  <c r="L117" i="1"/>
  <c r="L118" i="1"/>
  <c r="D118" i="1"/>
  <c r="G117" i="1"/>
  <c r="F117" i="1"/>
  <c r="G48" i="1"/>
  <c r="D55" i="1"/>
  <c r="D21" i="1"/>
  <c r="J5" i="1"/>
  <c r="F118" i="1" l="1"/>
  <c r="F113" i="1" s="1"/>
  <c r="G55" i="1"/>
  <c r="F168" i="1"/>
  <c r="H55" i="1" l="1"/>
  <c r="G168" i="1"/>
  <c r="G118" i="1"/>
  <c r="G113" i="1" s="1"/>
  <c r="G147" i="1" l="1"/>
  <c r="G149" i="1"/>
  <c r="G155" i="1" s="1"/>
  <c r="H168" i="1"/>
  <c r="I55" i="1"/>
  <c r="H118" i="1"/>
  <c r="H113" i="1" s="1"/>
  <c r="H149" i="1" l="1"/>
  <c r="H155" i="1" s="1"/>
  <c r="H147" i="1"/>
  <c r="G157" i="1"/>
  <c r="G161" i="1"/>
  <c r="G164" i="1"/>
  <c r="G162" i="1"/>
  <c r="G165" i="1"/>
  <c r="G151" i="1"/>
  <c r="G186" i="1" s="1"/>
  <c r="I168" i="1"/>
  <c r="J55" i="1"/>
  <c r="I118" i="1"/>
  <c r="I113" i="1" s="1"/>
  <c r="I147" i="1" l="1"/>
  <c r="I149" i="1"/>
  <c r="I155" i="1" s="1"/>
  <c r="H157" i="1"/>
  <c r="H164" i="1"/>
  <c r="H161" i="1"/>
  <c r="H162" i="1"/>
  <c r="H151" i="1"/>
  <c r="H186" i="1" s="1"/>
  <c r="H165" i="1"/>
  <c r="G189" i="1"/>
  <c r="K55" i="1"/>
  <c r="J168" i="1"/>
  <c r="J118" i="1"/>
  <c r="J113" i="1" s="1"/>
  <c r="I157" i="1" l="1"/>
  <c r="H189" i="1"/>
  <c r="J149" i="1"/>
  <c r="J155" i="1" s="1"/>
  <c r="J147" i="1"/>
  <c r="I165" i="1"/>
  <c r="I162" i="1"/>
  <c r="I161" i="1"/>
  <c r="I151" i="1"/>
  <c r="I186" i="1" s="1"/>
  <c r="I164" i="1"/>
  <c r="K23" i="1"/>
  <c r="K168" i="1"/>
  <c r="K118" i="1"/>
  <c r="J157" i="1" l="1"/>
  <c r="J161" i="1"/>
  <c r="J164" i="1"/>
  <c r="J165" i="1"/>
  <c r="J151" i="1"/>
  <c r="J186" i="1" s="1"/>
  <c r="J162" i="1"/>
  <c r="I189" i="1"/>
  <c r="K113" i="1"/>
  <c r="L113" i="1"/>
  <c r="J189" i="1" l="1"/>
  <c r="K147" i="1"/>
  <c r="K149" i="1"/>
  <c r="K155" i="1" s="1"/>
  <c r="K157" i="1" s="1"/>
  <c r="K187" i="1" s="1"/>
  <c r="K164" i="1" l="1"/>
  <c r="K161" i="1"/>
  <c r="K151" i="1"/>
  <c r="K186" i="1" s="1"/>
  <c r="K165" i="1"/>
  <c r="K162" i="1"/>
  <c r="K189" i="1" l="1"/>
  <c r="F191" i="1" s="1"/>
  <c r="F193" i="1"/>
  <c r="F19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K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Interest-only loan - no principal repayments.</t>
        </r>
      </text>
    </comment>
    <comment ref="F9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 lease, so tenant is responsible for proportional share of property taxes.</t>
        </r>
      </text>
    </comment>
    <comment ref="J93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BIWS: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Need to reduce this one slightly to account for the 30% non-renewal possibility and 6 months of downtime.</t>
        </r>
      </text>
    </comment>
    <comment ref="F10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NNN lease, so tenant owes OpEx + Property Taxes (OpEx includes Insurance, CAM, and Common Area Utilities).</t>
        </r>
      </text>
    </comment>
  </commentList>
</comments>
</file>

<file path=xl/sharedStrings.xml><?xml version="1.0" encoding="utf-8"?>
<sst xmlns="http://schemas.openxmlformats.org/spreadsheetml/2006/main" count="301" uniqueCount="155">
  <si>
    <t>Operating Assumptions:</t>
  </si>
  <si>
    <t>Units:</t>
  </si>
  <si>
    <t>Location:</t>
  </si>
  <si>
    <t>Date</t>
  </si>
  <si>
    <t>#</t>
  </si>
  <si>
    <t>Months in Year:</t>
  </si>
  <si>
    <t>%</t>
  </si>
  <si>
    <t>Real Estate Taxes Annual Growth Rate:</t>
  </si>
  <si>
    <t>sq. ft.</t>
  </si>
  <si>
    <t>Acquisition and Exit Assumptions:</t>
  </si>
  <si>
    <t>Acquisition Date:</t>
  </si>
  <si>
    <t>Acquisition Price:</t>
  </si>
  <si>
    <t>$</t>
  </si>
  <si>
    <t>Acquisition Costs (% Gross Acquisition Price):</t>
  </si>
  <si>
    <t># Years</t>
  </si>
  <si>
    <t>Exit Date:</t>
  </si>
  <si>
    <t>Exit Price:</t>
  </si>
  <si>
    <t>Selling Costs (% Gross Sale Price):</t>
  </si>
  <si>
    <t>Historical:</t>
  </si>
  <si>
    <t>Projected:</t>
  </si>
  <si>
    <t>Sources of Funds:</t>
  </si>
  <si>
    <t>Uses of 
Funds:</t>
  </si>
  <si>
    <t>Senior Debt:</t>
  </si>
  <si>
    <t>Total Sources:</t>
  </si>
  <si>
    <t>Property Pro-Forma:</t>
  </si>
  <si>
    <t>Revenue:</t>
  </si>
  <si>
    <t>Effective Gross Income (EGI):</t>
  </si>
  <si>
    <t>Expenses:</t>
  </si>
  <si>
    <t>Total Expenses:</t>
  </si>
  <si>
    <t>Net Operating Income (NOI):</t>
  </si>
  <si>
    <t>NOI Margin:</t>
  </si>
  <si>
    <t>Adjusted Net Operating Income:</t>
  </si>
  <si>
    <t>Cash Flow to Equity Investors:</t>
  </si>
  <si>
    <t>x</t>
  </si>
  <si>
    <t>Name</t>
  </si>
  <si>
    <t>Total Uses:</t>
  </si>
  <si>
    <t>Stabilized</t>
  </si>
  <si>
    <t>Year:</t>
  </si>
  <si>
    <t>IRR Calculations:</t>
  </si>
  <si>
    <t>Invested Equity:</t>
  </si>
  <si>
    <t>Cash-on-Cash Multiple:</t>
  </si>
  <si>
    <t>Acquisition Sources and Uses of Funds:</t>
  </si>
  <si>
    <t>$ / sq. ft.</t>
  </si>
  <si>
    <t>Exit Cap Rate:</t>
  </si>
  <si>
    <t>Adjusted NOI Margin:</t>
  </si>
  <si>
    <t>Year</t>
  </si>
  <si>
    <t>Debt Service Coverage Ratio (DSCR) - NOI:</t>
  </si>
  <si>
    <t>Interest Coverage Ratio - NOI:</t>
  </si>
  <si>
    <t>Interest Coverage Ratio - Adjusted NOI:</t>
  </si>
  <si>
    <t>Debt Service Coverage Ratio (DSCR) - Adjusted NOI:</t>
  </si>
  <si>
    <t>Project Cash Flows (Unleveraged IRR):</t>
  </si>
  <si>
    <t>Unleveraged Internal Rate of Return (IRR):</t>
  </si>
  <si>
    <t>Leveraged Internal Rate of Return (IRR):</t>
  </si>
  <si>
    <t>Total Project Cash Flows (Unleveraged IRR):</t>
  </si>
  <si>
    <t>Cash Flow to Equity Investors (Leveraged IRR):</t>
  </si>
  <si>
    <t>Total Cash Flows to Equity (Leveraged IRR):</t>
  </si>
  <si>
    <t>Total Returns:</t>
  </si>
  <si>
    <t>Total Returns to Equity:</t>
  </si>
  <si>
    <t>($ USD in $ as Stated, Unless Otherwise Noted)</t>
  </si>
  <si>
    <t>Total Initial Investment:</t>
  </si>
  <si>
    <t>Rentable Square Feet (RSF):</t>
  </si>
  <si>
    <t>(-) Real Estate &amp; Property Taxes:</t>
  </si>
  <si>
    <t>(+) Base Rental Income:</t>
  </si>
  <si>
    <t>(+) Expense Reimbursements:</t>
  </si>
  <si>
    <t>Potential Gross Revenue:</t>
  </si>
  <si>
    <t>(-) Property Management Fees:</t>
  </si>
  <si>
    <t>$ / sq. ft. / Yr</t>
  </si>
  <si>
    <t>(-) CapEx, TI, and LC Reserves:</t>
  </si>
  <si>
    <t>(+) Capital Costs Paid from Reserves:</t>
  </si>
  <si>
    <t>(-) CapEx, TIs, and LCs:</t>
  </si>
  <si>
    <t>(+) Adjusted NOI (Cash Flows to All Investors):</t>
  </si>
  <si>
    <t>(+) Cash Flows to Equity Investors:</t>
  </si>
  <si>
    <t>(-) Initial Equity Investment:</t>
  </si>
  <si>
    <t>(-) Debt Principal Repayment Upon Exit:</t>
  </si>
  <si>
    <t>Debt Yield:</t>
  </si>
  <si>
    <t>(-) General Vacancy:</t>
  </si>
  <si>
    <t>Real Estate Taxes % Property Value:</t>
  </si>
  <si>
    <t>Property Management Fees % EGI:</t>
  </si>
  <si>
    <t>(-) Absorption &amp; Turnover Vacancy:</t>
  </si>
  <si>
    <t>Replacement Reserve Amount:</t>
  </si>
  <si>
    <t>(-) Concessions &amp; Free Rent:</t>
  </si>
  <si>
    <t>Replacement Reserve Annual Growth Rate:</t>
  </si>
  <si>
    <t xml:space="preserve">Numerical Year: </t>
  </si>
  <si>
    <t>Annual Capital Costs:</t>
  </si>
  <si>
    <t>Acquisition Costs:</t>
  </si>
  <si>
    <t>Loan Issuance Fees:</t>
  </si>
  <si>
    <t>(+) Proceeds from Sale of Property:</t>
  </si>
  <si>
    <t>(-) Selling Costs:</t>
  </si>
  <si>
    <t>(-) Property Acquisition Price:</t>
  </si>
  <si>
    <t>New York, NY</t>
  </si>
  <si>
    <t>1201 Broadway</t>
  </si>
  <si>
    <t>Senior Loan Loan-to-Value (LTV) Ratio:</t>
  </si>
  <si>
    <t>Senior Loan Interest Rate:</t>
  </si>
  <si>
    <t>Senior Loan Amortization Period:</t>
  </si>
  <si>
    <t>Senior Loan Maturity:</t>
  </si>
  <si>
    <t>Loan Issuance Fees (% Total Debt):</t>
  </si>
  <si>
    <t>Mezzanine Loan-to-Value (LTV) Ratio:</t>
  </si>
  <si>
    <t>Mezzanine Amortization Period:</t>
  </si>
  <si>
    <t>Mezzanine Maturity:</t>
  </si>
  <si>
    <t>Mezzanine Cash Interest Rate:</t>
  </si>
  <si>
    <t>Mezzanine PIK Interest Rate:</t>
  </si>
  <si>
    <t>N/A</t>
  </si>
  <si>
    <t>Mezzanine:</t>
  </si>
  <si>
    <t>Operating Partner - Equity:</t>
  </si>
  <si>
    <t>Limited Partners - Equity:</t>
  </si>
  <si>
    <t>Office Tenant #1 - Full Service (FS) Lease:</t>
  </si>
  <si>
    <t>Office Tenant #2 - Single Net (N) Lease:</t>
  </si>
  <si>
    <t>Rentable Square Feet Occupied:</t>
  </si>
  <si>
    <t>Baseline Rent per Square Foot:</t>
  </si>
  <si>
    <t>Rental Growth Rate:</t>
  </si>
  <si>
    <t>Lease Expiration Date:</t>
  </si>
  <si>
    <t>Renewal Probability:</t>
  </si>
  <si>
    <t>New Lease Term (Years):</t>
  </si>
  <si>
    <t>(-) Tenant Improvements (TIs):</t>
  </si>
  <si>
    <t>(-) Leasing Commissions (LCs):</t>
  </si>
  <si>
    <t># Months of Free Rent:</t>
  </si>
  <si>
    <t># Months of Downtime for Non-Renewal:</t>
  </si>
  <si>
    <t>Tenant Improvements (TIs) per RSF:</t>
  </si>
  <si>
    <t>Leasing Commissions (LCs) % Total Lease Value:</t>
  </si>
  <si>
    <t>Free Rent and Capital Costs:</t>
  </si>
  <si>
    <t>New:</t>
  </si>
  <si>
    <t>Renewal:</t>
  </si>
  <si>
    <t>Property-Wide Operating Assumptions:</t>
  </si>
  <si>
    <t>Rent Roll &amp; Operating Assumptions:</t>
  </si>
  <si>
    <t>Implied Going-In Cap Rate:</t>
  </si>
  <si>
    <t>(-) Cash Interest Expense on Senior Debt:</t>
  </si>
  <si>
    <t>(-) Cash Interest Expense on Mezzanine:</t>
  </si>
  <si>
    <t>(-) Senior Debt Principal Repayment:</t>
  </si>
  <si>
    <t>Operating Partner Equity Contribution:</t>
  </si>
  <si>
    <t>Limited Partner Equity Contribution:</t>
  </si>
  <si>
    <t>PIK Interest on Mezzanine:</t>
  </si>
  <si>
    <t>Total Debt Balance:</t>
  </si>
  <si>
    <t>(+) Ending Senior Debt Balance:</t>
  </si>
  <si>
    <t>(+) Ending Mezzanine Balance:</t>
  </si>
  <si>
    <t>Property Name:</t>
  </si>
  <si>
    <t>Asset Management Fee % Initial Equity Invested:</t>
  </si>
  <si>
    <t>IRR Hurdle (Based on Levered IRR to LPs):</t>
  </si>
  <si>
    <t>Profit Split Beyond IRR Hurdle:</t>
  </si>
  <si>
    <t>Profit Split Below IRR Hurdle:</t>
  </si>
  <si>
    <t>Tenant #3 - Retailer - Triple Net (NNN) Lease:</t>
  </si>
  <si>
    <t>Replacement Reserves:</t>
  </si>
  <si>
    <t>Insurance Annual Growth Rate:</t>
  </si>
  <si>
    <t>Common Area Utilities Annual Growth Rate:</t>
  </si>
  <si>
    <t>Common Area Maintenance Annual Growth Rate:</t>
  </si>
  <si>
    <t>(-) Common Area Maintenance (CAM):</t>
  </si>
  <si>
    <t>(-) Common Area Utilities:</t>
  </si>
  <si>
    <t>(-) Insurance:</t>
  </si>
  <si>
    <t>Replacement Reserve per RSF per Year:</t>
  </si>
  <si>
    <t>Common Area Utilities per RSF per Year:</t>
  </si>
  <si>
    <t>Common Area Maintenance (CAM) per RSF per Year:</t>
  </si>
  <si>
    <t>Insurance per RSF per Year:</t>
  </si>
  <si>
    <t>Acquisition Price per Rentable Square Foot:</t>
  </si>
  <si>
    <t>Exit Price per RSF:</t>
  </si>
  <si>
    <t>Vacant area</t>
  </si>
  <si>
    <t>12/34/2024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</si>
</sst>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-_);@_)"/>
    <numFmt numFmtId="165" formatCode="yyyy\-mm\-dd"/>
    <numFmt numFmtId="166" formatCode="0.00%_);\(0.00%\);\-_);@_)"/>
    <numFmt numFmtId="167" formatCode="0.0%_);\(0.0%\);\-_);@_)"/>
    <numFmt numFmtId="168" formatCode="#,##0\ &quot;sq. ft.&quot;"/>
    <numFmt numFmtId="169" formatCode="&quot;FY&quot;yy"/>
    <numFmt numFmtId="170" formatCode="0.00\ \x_);\(0.00\ \x\);\-_);@_)"/>
    <numFmt numFmtId="171" formatCode="0.0%"/>
    <numFmt numFmtId="172" formatCode="0.0\ \x"/>
  </numFmts>
  <fonts count="25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2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thin">
        <color rgb="FFB2B2B2"/>
      </top>
      <bottom/>
      <diagonal/>
    </border>
  </borders>
  <cellStyleXfs count="2">
    <xf numFmtId="0" fontId="0" fillId="0" borderId="0"/>
    <xf numFmtId="0" fontId="4" fillId="0" borderId="0"/>
  </cellStyleXfs>
  <cellXfs count="105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5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3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left" indent="1"/>
    </xf>
    <xf numFmtId="44" fontId="10" fillId="3" borderId="1" xfId="0" applyNumberFormat="1" applyFont="1" applyFill="1" applyBorder="1" applyAlignment="1" applyProtection="1">
      <alignment horizontal="center"/>
      <protection locked="0"/>
    </xf>
    <xf numFmtId="0" fontId="11" fillId="0" borderId="0" xfId="0" applyFont="1"/>
    <xf numFmtId="165" fontId="10" fillId="3" borderId="1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left"/>
    </xf>
    <xf numFmtId="166" fontId="10" fillId="3" borderId="1" xfId="0" applyNumberFormat="1" applyFont="1" applyFill="1" applyBorder="1" applyAlignment="1" applyProtection="1">
      <alignment horizontal="center"/>
      <protection locked="0"/>
    </xf>
    <xf numFmtId="164" fontId="10" fillId="3" borderId="1" xfId="0" applyNumberFormat="1" applyFont="1" applyFill="1" applyBorder="1" applyAlignment="1" applyProtection="1">
      <alignment horizontal="center"/>
      <protection locked="0"/>
    </xf>
    <xf numFmtId="167" fontId="10" fillId="3" borderId="1" xfId="0" applyNumberFormat="1" applyFont="1" applyFill="1" applyBorder="1" applyAlignment="1" applyProtection="1">
      <alignment horizontal="center"/>
      <protection locked="0"/>
    </xf>
    <xf numFmtId="168" fontId="10" fillId="3" borderId="1" xfId="0" applyNumberFormat="1" applyFont="1" applyFill="1" applyBorder="1" applyProtection="1">
      <protection locked="0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quotePrefix="1" applyFont="1" applyAlignment="1">
      <alignment horizontal="center"/>
    </xf>
    <xf numFmtId="42" fontId="11" fillId="0" borderId="0" xfId="0" applyNumberFormat="1" applyFont="1" applyProtection="1">
      <protection locked="0"/>
    </xf>
    <xf numFmtId="44" fontId="11" fillId="0" borderId="0" xfId="0" applyNumberFormat="1" applyFont="1" applyProtection="1">
      <protection locked="0"/>
    </xf>
    <xf numFmtId="0" fontId="6" fillId="5" borderId="2" xfId="0" applyFont="1" applyFill="1" applyBorder="1" applyAlignment="1">
      <alignment horizontal="centerContinuous"/>
    </xf>
    <xf numFmtId="166" fontId="10" fillId="3" borderId="12" xfId="0" applyNumberFormat="1" applyFont="1" applyFill="1" applyBorder="1" applyAlignment="1" applyProtection="1">
      <alignment horizontal="center"/>
      <protection locked="0"/>
    </xf>
    <xf numFmtId="0" fontId="8" fillId="0" borderId="0" xfId="0" quotePrefix="1" applyFont="1" applyAlignment="1">
      <alignment horizontal="left"/>
    </xf>
    <xf numFmtId="0" fontId="9" fillId="2" borderId="2" xfId="0" applyFont="1" applyFill="1" applyBorder="1" applyAlignment="1">
      <alignment horizontal="left"/>
    </xf>
    <xf numFmtId="164" fontId="7" fillId="0" borderId="0" xfId="0" applyNumberFormat="1" applyFont="1" applyAlignment="1">
      <alignment horizontal="left" indent="1"/>
    </xf>
    <xf numFmtId="42" fontId="7" fillId="0" borderId="0" xfId="0" applyNumberFormat="1" applyFont="1"/>
    <xf numFmtId="9" fontId="7" fillId="0" borderId="0" xfId="0" applyNumberFormat="1" applyFont="1"/>
    <xf numFmtId="164" fontId="7" fillId="0" borderId="0" xfId="0" applyNumberFormat="1" applyFont="1"/>
    <xf numFmtId="41" fontId="7" fillId="0" borderId="0" xfId="0" applyNumberFormat="1" applyFont="1"/>
    <xf numFmtId="164" fontId="6" fillId="0" borderId="7" xfId="0" applyNumberFormat="1" applyFont="1" applyBorder="1"/>
    <xf numFmtId="42" fontId="6" fillId="0" borderId="7" xfId="0" applyNumberFormat="1" applyFont="1" applyBorder="1"/>
    <xf numFmtId="0" fontId="5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Continuous"/>
    </xf>
    <xf numFmtId="0" fontId="5" fillId="2" borderId="0" xfId="0" applyFont="1" applyFill="1" applyAlignment="1">
      <alignment horizontal="centerContinuous"/>
    </xf>
    <xf numFmtId="169" fontId="5" fillId="2" borderId="2" xfId="0" applyNumberFormat="1" applyFont="1" applyFill="1" applyBorder="1" applyAlignment="1">
      <alignment horizontal="center"/>
    </xf>
    <xf numFmtId="169" fontId="5" fillId="2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9" fontId="5" fillId="2" borderId="0" xfId="0" applyNumberFormat="1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169" fontId="5" fillId="2" borderId="8" xfId="0" applyNumberFormat="1" applyFont="1" applyFill="1" applyBorder="1" applyAlignment="1">
      <alignment horizontal="center"/>
    </xf>
    <xf numFmtId="164" fontId="7" fillId="0" borderId="7" xfId="0" applyNumberFormat="1" applyFont="1" applyBorder="1"/>
    <xf numFmtId="0" fontId="8" fillId="0" borderId="2" xfId="0" applyFont="1" applyBorder="1" applyAlignment="1">
      <alignment horizontal="center"/>
    </xf>
    <xf numFmtId="0" fontId="6" fillId="0" borderId="7" xfId="0" applyFont="1" applyBorder="1"/>
    <xf numFmtId="164" fontId="6" fillId="0" borderId="0" xfId="0" applyNumberFormat="1" applyFont="1"/>
    <xf numFmtId="0" fontId="8" fillId="0" borderId="0" xfId="0" applyFont="1" applyAlignment="1">
      <alignment horizontal="left" indent="1"/>
    </xf>
    <xf numFmtId="167" fontId="8" fillId="0" borderId="0" xfId="0" applyNumberFormat="1" applyFont="1"/>
    <xf numFmtId="0" fontId="13" fillId="0" borderId="0" xfId="0" applyFont="1" applyAlignment="1">
      <alignment horizontal="left" indent="1"/>
    </xf>
    <xf numFmtId="0" fontId="15" fillId="0" borderId="0" xfId="0" applyFont="1"/>
    <xf numFmtId="164" fontId="15" fillId="0" borderId="0" xfId="0" applyNumberFormat="1" applyFont="1"/>
    <xf numFmtId="0" fontId="13" fillId="0" borderId="0" xfId="0" applyFont="1"/>
    <xf numFmtId="170" fontId="8" fillId="0" borderId="0" xfId="0" applyNumberFormat="1" applyFont="1"/>
    <xf numFmtId="41" fontId="10" fillId="0" borderId="2" xfId="0" applyNumberFormat="1" applyFont="1" applyBorder="1" applyProtection="1">
      <protection locked="0"/>
    </xf>
    <xf numFmtId="41" fontId="10" fillId="0" borderId="0" xfId="0" applyNumberFormat="1" applyFont="1" applyProtection="1">
      <protection locked="0"/>
    </xf>
    <xf numFmtId="0" fontId="15" fillId="0" borderId="7" xfId="0" applyFont="1" applyBorder="1"/>
    <xf numFmtId="0" fontId="7" fillId="0" borderId="7" xfId="0" applyFont="1" applyBorder="1"/>
    <xf numFmtId="42" fontId="15" fillId="0" borderId="7" xfId="0" applyNumberFormat="1" applyFont="1" applyBorder="1"/>
    <xf numFmtId="0" fontId="15" fillId="4" borderId="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center"/>
    </xf>
    <xf numFmtId="0" fontId="15" fillId="4" borderId="10" xfId="0" applyFont="1" applyFill="1" applyBorder="1"/>
    <xf numFmtId="8" fontId="7" fillId="0" borderId="0" xfId="0" applyNumberFormat="1" applyFont="1"/>
    <xf numFmtId="1" fontId="10" fillId="3" borderId="12" xfId="0" applyNumberFormat="1" applyFont="1" applyFill="1" applyBorder="1" applyAlignment="1" applyProtection="1">
      <alignment horizontal="center"/>
      <protection locked="0"/>
    </xf>
    <xf numFmtId="165" fontId="10" fillId="0" borderId="0" xfId="0" applyNumberFormat="1" applyFont="1" applyAlignment="1" applyProtection="1">
      <alignment horizontal="center"/>
      <protection locked="0"/>
    </xf>
    <xf numFmtId="0" fontId="15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167" fontId="10" fillId="0" borderId="0" xfId="0" applyNumberFormat="1" applyFont="1" applyAlignment="1" applyProtection="1">
      <alignment horizontal="center"/>
      <protection locked="0"/>
    </xf>
    <xf numFmtId="43" fontId="10" fillId="3" borderId="1" xfId="0" applyNumberFormat="1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Continuous"/>
      <protection locked="0"/>
    </xf>
    <xf numFmtId="164" fontId="16" fillId="0" borderId="0" xfId="0" applyNumberFormat="1" applyFont="1"/>
    <xf numFmtId="41" fontId="16" fillId="0" borderId="0" xfId="0" applyNumberFormat="1" applyFont="1"/>
    <xf numFmtId="167" fontId="13" fillId="0" borderId="0" xfId="0" quotePrefix="1" applyNumberFormat="1" applyFont="1"/>
    <xf numFmtId="41" fontId="17" fillId="0" borderId="0" xfId="0" applyNumberFormat="1" applyFont="1"/>
    <xf numFmtId="41" fontId="15" fillId="0" borderId="7" xfId="0" applyNumberFormat="1" applyFont="1" applyBorder="1"/>
    <xf numFmtId="168" fontId="10" fillId="3" borderId="12" xfId="0" applyNumberFormat="1" applyFont="1" applyFill="1" applyBorder="1" applyProtection="1">
      <protection locked="0"/>
    </xf>
    <xf numFmtId="0" fontId="15" fillId="5" borderId="2" xfId="0" applyFont="1" applyFill="1" applyBorder="1"/>
    <xf numFmtId="0" fontId="8" fillId="5" borderId="2" xfId="0" applyFont="1" applyFill="1" applyBorder="1" applyAlignment="1">
      <alignment horizontal="left"/>
    </xf>
    <xf numFmtId="0" fontId="7" fillId="5" borderId="2" xfId="0" applyFont="1" applyFill="1" applyBorder="1"/>
    <xf numFmtId="168" fontId="10" fillId="0" borderId="0" xfId="0" applyNumberFormat="1" applyFont="1" applyProtection="1">
      <protection locked="0"/>
    </xf>
    <xf numFmtId="1" fontId="20" fillId="5" borderId="2" xfId="0" applyNumberFormat="1" applyFont="1" applyFill="1" applyBorder="1" applyAlignment="1" applyProtection="1">
      <alignment horizontal="center"/>
      <protection locked="0"/>
    </xf>
    <xf numFmtId="0" fontId="21" fillId="5" borderId="2" xfId="0" applyFont="1" applyFill="1" applyBorder="1" applyAlignment="1">
      <alignment horizontal="center"/>
    </xf>
    <xf numFmtId="1" fontId="20" fillId="5" borderId="2" xfId="0" applyNumberFormat="1" applyFont="1" applyFill="1" applyBorder="1" applyProtection="1"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165" fontId="10" fillId="0" borderId="13" xfId="0" applyNumberFormat="1" applyFont="1" applyBorder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171" fontId="7" fillId="0" borderId="0" xfId="0" applyNumberFormat="1" applyFont="1"/>
    <xf numFmtId="0" fontId="1" fillId="0" borderId="0" xfId="0" applyFont="1" applyAlignment="1">
      <alignment horizontal="left" indent="1"/>
    </xf>
    <xf numFmtId="42" fontId="15" fillId="0" borderId="0" xfId="0" applyNumberFormat="1" applyFont="1"/>
    <xf numFmtId="43" fontId="10" fillId="0" borderId="0" xfId="0" applyNumberFormat="1" applyFont="1" applyProtection="1">
      <protection locked="0"/>
    </xf>
    <xf numFmtId="168" fontId="7" fillId="0" borderId="0" xfId="0" applyNumberFormat="1" applyFont="1"/>
    <xf numFmtId="167" fontId="11" fillId="0" borderId="0" xfId="0" applyNumberFormat="1" applyFont="1" applyAlignment="1" applyProtection="1">
      <alignment horizontal="center"/>
      <protection locked="0"/>
    </xf>
    <xf numFmtId="167" fontId="6" fillId="4" borderId="11" xfId="0" applyNumberFormat="1" applyFont="1" applyFill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0" fontId="22" fillId="0" borderId="0" xfId="1" applyFont="1"/>
    <xf numFmtId="0" fontId="11" fillId="0" borderId="0" xfId="1" applyFont="1"/>
    <xf numFmtId="0" fontId="6" fillId="0" borderId="0" xfId="0" applyFont="1" applyAlignment="1">
      <alignment horizontal="left"/>
    </xf>
    <xf numFmtId="167" fontId="10" fillId="0" borderId="13" xfId="0" applyNumberFormat="1" applyFont="1" applyBorder="1" applyAlignment="1" applyProtection="1">
      <alignment horizontal="center"/>
      <protection locked="0"/>
    </xf>
    <xf numFmtId="164" fontId="17" fillId="3" borderId="1" xfId="0" applyNumberFormat="1" applyFont="1" applyFill="1" applyBorder="1"/>
    <xf numFmtId="3" fontId="15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B2B2B2"/>
      <color rgb="FFFFFF99"/>
      <color rgb="FF0000FF"/>
      <color rgb="FFBDD7EE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F89E15-4D6C-B24F-82AA-A88B04C3E70A}">
  <we:reference id="cba9fc06-6fc9-492e-9525-923870a3b909" version="2.0.0.1" store="EXCatalog" storeType="EXCatalog"/>
  <we:alternateReferences>
    <we:reference id="WA200010215" version="2.0.0.1" store="en-US" storeType="OMEX"/>
  </we:alternateReferences>
  <we:properties>
    <we:property name="bps.codex_control.document_id" value="&quot;95aa739b-964b-45e1-9056-4007450b24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M197"/>
  <sheetViews>
    <sheetView showGridLines="0" tabSelected="1" topLeftCell="A89" zoomScaleNormal="100" zoomScaleSheetLayoutView="40" workbookViewId="0">
      <selection activeCell="I76" sqref="I76"/>
    </sheetView>
  </sheetViews>
  <sheetFormatPr baseColWidth="10" defaultColWidth="9.1640625" defaultRowHeight="16" outlineLevelRow="1" x14ac:dyDescent="0.2"/>
  <cols>
    <col min="1" max="2" width="2.6640625" style="3" customWidth="1"/>
    <col min="3" max="3" width="50.5" style="3" bestFit="1" customWidth="1"/>
    <col min="4" max="4" width="16" style="3" bestFit="1" customWidth="1"/>
    <col min="5" max="5" width="15.1640625" style="3" bestFit="1" customWidth="1"/>
    <col min="6" max="10" width="14.5" style="3" customWidth="1"/>
    <col min="11" max="11" width="15.1640625" style="3" bestFit="1" customWidth="1"/>
    <col min="12" max="12" width="14.5" style="3" customWidth="1"/>
    <col min="13" max="13" width="2.6640625" style="3" customWidth="1"/>
    <col min="14" max="16384" width="9.1640625" style="3"/>
  </cols>
  <sheetData>
    <row r="2" spans="2:12" ht="19" x14ac:dyDescent="0.25">
      <c r="B2" s="1" t="str">
        <f>Property_Name&amp;" - Investment Analysis Model"</f>
        <v>1201 Broadway - Investment Analysis Model</v>
      </c>
      <c r="D2" s="4"/>
    </row>
    <row r="3" spans="2:12" x14ac:dyDescent="0.2">
      <c r="B3" s="3" t="s">
        <v>58</v>
      </c>
      <c r="D3" s="4"/>
    </row>
    <row r="4" spans="2:12" x14ac:dyDescent="0.2">
      <c r="D4" s="4"/>
    </row>
    <row r="5" spans="2:12" x14ac:dyDescent="0.2">
      <c r="B5" s="5" t="s">
        <v>0</v>
      </c>
      <c r="C5" s="6"/>
      <c r="D5" s="6" t="s">
        <v>1</v>
      </c>
      <c r="E5" s="5"/>
      <c r="F5" s="5"/>
      <c r="G5" s="5"/>
      <c r="H5" s="5"/>
      <c r="I5" s="5"/>
      <c r="J5" s="6" t="str">
        <f>+$D$5</f>
        <v>Units:</v>
      </c>
      <c r="K5" s="5"/>
      <c r="L5" s="5"/>
    </row>
    <row r="6" spans="2:12" outlineLevel="1" x14ac:dyDescent="0.2">
      <c r="D6" s="4"/>
    </row>
    <row r="7" spans="2:12" outlineLevel="1" x14ac:dyDescent="0.2">
      <c r="C7" s="3" t="s">
        <v>134</v>
      </c>
      <c r="D7" s="7" t="s">
        <v>34</v>
      </c>
      <c r="E7" s="74" t="s">
        <v>90</v>
      </c>
      <c r="F7" s="74"/>
      <c r="G7" s="9" t="s">
        <v>76</v>
      </c>
      <c r="H7" s="11"/>
      <c r="I7" s="11"/>
      <c r="J7" s="7" t="s">
        <v>6</v>
      </c>
      <c r="K7" s="14">
        <v>0.04</v>
      </c>
    </row>
    <row r="8" spans="2:12" outlineLevel="1" x14ac:dyDescent="0.2">
      <c r="C8" s="3" t="s">
        <v>2</v>
      </c>
      <c r="D8" s="7" t="s">
        <v>34</v>
      </c>
      <c r="E8" s="8" t="s">
        <v>89</v>
      </c>
      <c r="G8" s="9" t="s">
        <v>7</v>
      </c>
      <c r="J8" s="7" t="s">
        <v>6</v>
      </c>
      <c r="K8" s="16">
        <v>0.02</v>
      </c>
    </row>
    <row r="9" spans="2:12" outlineLevel="1" x14ac:dyDescent="0.2">
      <c r="B9" s="11"/>
      <c r="D9" s="7"/>
      <c r="E9" s="89"/>
      <c r="F9" s="11"/>
    </row>
    <row r="10" spans="2:12" outlineLevel="1" x14ac:dyDescent="0.2">
      <c r="B10" s="11"/>
      <c r="C10" s="3" t="s">
        <v>5</v>
      </c>
      <c r="D10" s="7" t="s">
        <v>4</v>
      </c>
      <c r="E10" s="88">
        <v>12</v>
      </c>
      <c r="F10" s="11"/>
      <c r="G10" s="9" t="s">
        <v>147</v>
      </c>
      <c r="J10" s="7" t="s">
        <v>66</v>
      </c>
      <c r="K10" s="10">
        <v>2.5</v>
      </c>
    </row>
    <row r="11" spans="2:12" outlineLevel="1" x14ac:dyDescent="0.2">
      <c r="B11" s="11"/>
      <c r="C11" s="3" t="s">
        <v>60</v>
      </c>
      <c r="D11" s="7" t="s">
        <v>8</v>
      </c>
      <c r="E11" s="17">
        <v>25000</v>
      </c>
      <c r="F11" s="11"/>
      <c r="G11" s="9" t="s">
        <v>81</v>
      </c>
      <c r="J11" s="7" t="s">
        <v>6</v>
      </c>
      <c r="K11" s="16">
        <v>0.03</v>
      </c>
    </row>
    <row r="12" spans="2:12" outlineLevel="1" x14ac:dyDescent="0.2"/>
    <row r="13" spans="2:12" outlineLevel="1" x14ac:dyDescent="0.2">
      <c r="C13" s="3" t="s">
        <v>77</v>
      </c>
      <c r="D13" s="7" t="s">
        <v>6</v>
      </c>
      <c r="E13" s="16">
        <v>3.0000000000000006E-2</v>
      </c>
      <c r="G13" s="9" t="s">
        <v>148</v>
      </c>
      <c r="J13" s="7" t="s">
        <v>66</v>
      </c>
      <c r="K13" s="10">
        <v>3</v>
      </c>
    </row>
    <row r="14" spans="2:12" outlineLevel="1" x14ac:dyDescent="0.2">
      <c r="D14" s="7"/>
      <c r="E14" s="102"/>
      <c r="G14" s="9" t="s">
        <v>142</v>
      </c>
      <c r="J14" s="7" t="s">
        <v>6</v>
      </c>
      <c r="K14" s="16">
        <v>0.03</v>
      </c>
    </row>
    <row r="15" spans="2:12" outlineLevel="1" x14ac:dyDescent="0.2">
      <c r="B15" s="11"/>
      <c r="C15" s="18" t="s">
        <v>149</v>
      </c>
      <c r="D15" s="7" t="s">
        <v>66</v>
      </c>
      <c r="E15" s="10">
        <v>5</v>
      </c>
      <c r="F15" s="11"/>
      <c r="G15" s="9"/>
      <c r="J15" s="7"/>
      <c r="K15" s="72"/>
    </row>
    <row r="16" spans="2:12" outlineLevel="1" x14ac:dyDescent="0.2">
      <c r="C16" s="18" t="s">
        <v>143</v>
      </c>
      <c r="D16" s="7" t="s">
        <v>6</v>
      </c>
      <c r="E16" s="16">
        <v>3.5000000000000003E-2</v>
      </c>
    </row>
    <row r="17" spans="2:12" outlineLevel="1" x14ac:dyDescent="0.2">
      <c r="D17" s="7"/>
      <c r="E17" s="102"/>
      <c r="G17" s="9"/>
      <c r="H17" s="9"/>
      <c r="I17" s="9"/>
      <c r="J17" s="7"/>
      <c r="K17" s="94"/>
    </row>
    <row r="18" spans="2:12" outlineLevel="1" x14ac:dyDescent="0.2">
      <c r="C18" s="3" t="s">
        <v>150</v>
      </c>
      <c r="D18" s="7" t="s">
        <v>66</v>
      </c>
      <c r="E18" s="10">
        <v>2</v>
      </c>
      <c r="G18" s="9"/>
      <c r="H18" s="9"/>
      <c r="I18" s="9"/>
      <c r="J18" s="7"/>
      <c r="K18" s="94"/>
    </row>
    <row r="19" spans="2:12" outlineLevel="1" x14ac:dyDescent="0.2">
      <c r="C19" s="18" t="s">
        <v>141</v>
      </c>
      <c r="D19" s="7" t="s">
        <v>6</v>
      </c>
      <c r="E19" s="16">
        <v>2.5000000000000001E-2</v>
      </c>
      <c r="G19" s="9"/>
      <c r="H19" s="9"/>
      <c r="I19" s="9"/>
      <c r="J19" s="7"/>
      <c r="K19" s="94"/>
    </row>
    <row r="20" spans="2:12" x14ac:dyDescent="0.2">
      <c r="B20" s="11"/>
      <c r="C20" s="11"/>
      <c r="D20" s="13"/>
      <c r="E20" s="11"/>
      <c r="F20" s="11"/>
      <c r="G20" s="11"/>
      <c r="H20" s="11"/>
      <c r="I20" s="11"/>
      <c r="J20" s="11"/>
      <c r="K20" s="19"/>
    </row>
    <row r="21" spans="2:12" x14ac:dyDescent="0.2">
      <c r="B21" s="5" t="s">
        <v>9</v>
      </c>
      <c r="C21" s="5"/>
      <c r="D21" s="6" t="str">
        <f>+$D$5</f>
        <v>Units:</v>
      </c>
      <c r="E21" s="5"/>
      <c r="F21" s="5"/>
      <c r="G21" s="5"/>
      <c r="H21" s="5"/>
      <c r="I21" s="5"/>
      <c r="J21" s="6" t="str">
        <f>+$D$5</f>
        <v>Units:</v>
      </c>
      <c r="K21" s="5"/>
      <c r="L21" s="5"/>
    </row>
    <row r="22" spans="2:12" outlineLevel="1" x14ac:dyDescent="0.2">
      <c r="D22" s="4"/>
    </row>
    <row r="23" spans="2:12" outlineLevel="1" x14ac:dyDescent="0.2">
      <c r="C23" s="3" t="s">
        <v>10</v>
      </c>
      <c r="D23" s="7" t="s">
        <v>3</v>
      </c>
      <c r="E23" s="12">
        <v>46387</v>
      </c>
      <c r="G23" s="18" t="s">
        <v>15</v>
      </c>
      <c r="J23" s="7" t="s">
        <v>3</v>
      </c>
      <c r="K23" s="12">
        <f>K55</f>
        <v>48213</v>
      </c>
    </row>
    <row r="24" spans="2:12" outlineLevel="1" x14ac:dyDescent="0.2">
      <c r="C24" s="18" t="s">
        <v>151</v>
      </c>
      <c r="D24" s="7" t="s">
        <v>42</v>
      </c>
      <c r="E24" s="10">
        <v>1000</v>
      </c>
      <c r="G24" s="18" t="s">
        <v>43</v>
      </c>
      <c r="J24" s="20" t="s">
        <v>6</v>
      </c>
      <c r="K24" s="24">
        <v>0.06</v>
      </c>
    </row>
    <row r="25" spans="2:12" outlineLevel="1" x14ac:dyDescent="0.2">
      <c r="C25" s="3" t="s">
        <v>11</v>
      </c>
      <c r="D25" s="20" t="s">
        <v>12</v>
      </c>
      <c r="E25" s="21">
        <f>+E24*Rentable_SF</f>
        <v>25000000</v>
      </c>
      <c r="G25" s="18"/>
      <c r="J25" s="7"/>
      <c r="K25" s="69"/>
    </row>
    <row r="26" spans="2:12" outlineLevel="1" x14ac:dyDescent="0.2">
      <c r="G26" s="18" t="s">
        <v>16</v>
      </c>
      <c r="J26" s="20" t="s">
        <v>12</v>
      </c>
      <c r="K26" s="21">
        <f>+L138/Exit_Cap_Rate</f>
        <v>35684042.393106267</v>
      </c>
    </row>
    <row r="27" spans="2:12" outlineLevel="1" x14ac:dyDescent="0.2">
      <c r="C27" s="3" t="s">
        <v>124</v>
      </c>
      <c r="D27" s="20" t="s">
        <v>6</v>
      </c>
      <c r="E27" s="90">
        <f>+G138/Entry_Price</f>
        <v>6.9866272000000007E-2</v>
      </c>
      <c r="G27" s="3" t="s">
        <v>152</v>
      </c>
      <c r="J27" s="7" t="s">
        <v>42</v>
      </c>
      <c r="K27" s="22">
        <f>+Exit_Price/Rentable_SF</f>
        <v>1427.3616957242507</v>
      </c>
    </row>
    <row r="28" spans="2:12" outlineLevel="1" x14ac:dyDescent="0.2">
      <c r="C28" s="18"/>
      <c r="D28" s="7"/>
      <c r="E28" s="22"/>
    </row>
    <row r="29" spans="2:12" outlineLevel="1" x14ac:dyDescent="0.2">
      <c r="C29" s="3" t="s">
        <v>13</v>
      </c>
      <c r="D29" s="7" t="s">
        <v>6</v>
      </c>
      <c r="E29" s="14">
        <v>0.01</v>
      </c>
      <c r="G29" s="3" t="s">
        <v>17</v>
      </c>
      <c r="J29" s="7" t="s">
        <v>6</v>
      </c>
      <c r="K29" s="14">
        <v>1.4999999999999999E-2</v>
      </c>
    </row>
    <row r="30" spans="2:12" outlineLevel="1" x14ac:dyDescent="0.2">
      <c r="C30" s="3" t="s">
        <v>95</v>
      </c>
      <c r="D30" s="7" t="s">
        <v>6</v>
      </c>
      <c r="E30" s="14">
        <v>1.4999999999999999E-2</v>
      </c>
    </row>
    <row r="31" spans="2:12" outlineLevel="1" x14ac:dyDescent="0.2"/>
    <row r="32" spans="2:12" outlineLevel="1" x14ac:dyDescent="0.2">
      <c r="C32" s="3" t="s">
        <v>91</v>
      </c>
      <c r="D32" s="20" t="s">
        <v>6</v>
      </c>
      <c r="E32" s="16">
        <v>0.5</v>
      </c>
      <c r="G32" s="3" t="s">
        <v>96</v>
      </c>
      <c r="J32" s="20" t="s">
        <v>6</v>
      </c>
      <c r="K32" s="16">
        <v>0.1</v>
      </c>
    </row>
    <row r="33" spans="2:12" outlineLevel="1" x14ac:dyDescent="0.2">
      <c r="C33" s="3" t="s">
        <v>92</v>
      </c>
      <c r="D33" s="20" t="s">
        <v>6</v>
      </c>
      <c r="E33" s="14">
        <v>0.05</v>
      </c>
      <c r="G33" s="3" t="s">
        <v>99</v>
      </c>
      <c r="J33" s="20" t="s">
        <v>6</v>
      </c>
      <c r="K33" s="14">
        <v>7.0000000000000007E-2</v>
      </c>
    </row>
    <row r="34" spans="2:12" outlineLevel="1" x14ac:dyDescent="0.2">
      <c r="C34" s="3" t="s">
        <v>93</v>
      </c>
      <c r="D34" s="20" t="s">
        <v>14</v>
      </c>
      <c r="E34" s="15">
        <v>25</v>
      </c>
      <c r="G34" s="3" t="s">
        <v>100</v>
      </c>
      <c r="J34" s="20" t="s">
        <v>6</v>
      </c>
      <c r="K34" s="14">
        <v>0.03</v>
      </c>
    </row>
    <row r="35" spans="2:12" outlineLevel="1" x14ac:dyDescent="0.2">
      <c r="C35" s="3" t="s">
        <v>94</v>
      </c>
      <c r="D35" s="20" t="s">
        <v>14</v>
      </c>
      <c r="E35" s="15">
        <v>5</v>
      </c>
      <c r="G35" s="3" t="s">
        <v>97</v>
      </c>
      <c r="J35" s="20" t="s">
        <v>14</v>
      </c>
      <c r="K35" s="15" t="s">
        <v>101</v>
      </c>
    </row>
    <row r="36" spans="2:12" outlineLevel="1" x14ac:dyDescent="0.2">
      <c r="D36" s="25"/>
      <c r="E36" s="25"/>
      <c r="G36" s="3" t="s">
        <v>98</v>
      </c>
      <c r="J36" s="20" t="s">
        <v>14</v>
      </c>
      <c r="K36" s="15">
        <v>5</v>
      </c>
    </row>
    <row r="37" spans="2:12" outlineLevel="1" x14ac:dyDescent="0.2">
      <c r="C37" s="3" t="s">
        <v>128</v>
      </c>
      <c r="D37" s="20" t="s">
        <v>6</v>
      </c>
      <c r="E37" s="16">
        <v>0.1</v>
      </c>
      <c r="G37" s="9"/>
    </row>
    <row r="38" spans="2:12" outlineLevel="1" x14ac:dyDescent="0.2">
      <c r="C38" s="3" t="s">
        <v>135</v>
      </c>
      <c r="D38" s="20" t="s">
        <v>6</v>
      </c>
      <c r="E38" s="16">
        <v>1.4999999999999999E-2</v>
      </c>
      <c r="G38" s="9"/>
    </row>
    <row r="39" spans="2:12" outlineLevel="1" x14ac:dyDescent="0.2">
      <c r="C39" s="3" t="s">
        <v>138</v>
      </c>
      <c r="D39" s="20" t="s">
        <v>6</v>
      </c>
      <c r="E39" s="16">
        <v>0</v>
      </c>
      <c r="G39" s="9"/>
    </row>
    <row r="40" spans="2:12" outlineLevel="1" x14ac:dyDescent="0.2">
      <c r="C40" s="3" t="s">
        <v>136</v>
      </c>
      <c r="D40" s="20" t="s">
        <v>6</v>
      </c>
      <c r="E40" s="16">
        <v>0.1</v>
      </c>
      <c r="G40" s="9"/>
    </row>
    <row r="41" spans="2:12" outlineLevel="1" x14ac:dyDescent="0.2">
      <c r="C41" s="3" t="s">
        <v>137</v>
      </c>
      <c r="D41" s="20" t="s">
        <v>6</v>
      </c>
      <c r="E41" s="16">
        <v>0.2</v>
      </c>
      <c r="G41" s="9"/>
    </row>
    <row r="42" spans="2:12" outlineLevel="1" x14ac:dyDescent="0.2">
      <c r="D42" s="25"/>
      <c r="E42" s="72"/>
      <c r="G42" s="9"/>
    </row>
    <row r="43" spans="2:12" outlineLevel="1" x14ac:dyDescent="0.2">
      <c r="C43" s="3" t="s">
        <v>129</v>
      </c>
      <c r="D43" s="20" t="s">
        <v>6</v>
      </c>
      <c r="E43" s="96">
        <f>1-Op_Equity_Pct</f>
        <v>0.9</v>
      </c>
      <c r="G43" s="9"/>
    </row>
    <row r="44" spans="2:12" x14ac:dyDescent="0.2">
      <c r="D44" s="25"/>
      <c r="E44" s="25"/>
      <c r="G44" s="9"/>
    </row>
    <row r="45" spans="2:12" x14ac:dyDescent="0.2">
      <c r="B45" s="5" t="s">
        <v>41</v>
      </c>
      <c r="C45" s="26"/>
      <c r="D45" s="5"/>
      <c r="E45" s="5"/>
      <c r="F45" s="5"/>
      <c r="G45" s="5"/>
      <c r="H45" s="5"/>
      <c r="I45" s="5"/>
      <c r="J45" s="5"/>
      <c r="K45" s="5"/>
      <c r="L45" s="5"/>
    </row>
    <row r="46" spans="2:12" outlineLevel="1" x14ac:dyDescent="0.2">
      <c r="C46" s="9"/>
      <c r="D46" s="4"/>
    </row>
    <row r="47" spans="2:12" outlineLevel="1" x14ac:dyDescent="0.2">
      <c r="C47" s="23" t="s">
        <v>20</v>
      </c>
      <c r="D47" s="23"/>
      <c r="E47" s="23"/>
      <c r="G47" s="23" t="s">
        <v>21</v>
      </c>
      <c r="H47" s="23"/>
      <c r="I47" s="23"/>
      <c r="J47" s="23"/>
      <c r="K47" s="23"/>
    </row>
    <row r="48" spans="2:12" outlineLevel="1" x14ac:dyDescent="0.2">
      <c r="C48" s="27" t="s">
        <v>22</v>
      </c>
      <c r="D48" s="27"/>
      <c r="E48" s="28">
        <f>+Entry_Price*Senior_LTV</f>
        <v>12500000</v>
      </c>
      <c r="F48" s="29"/>
      <c r="G48" s="27" t="str">
        <f>C25</f>
        <v>Acquisition Price:</v>
      </c>
      <c r="H48" s="30"/>
      <c r="I48" s="30"/>
      <c r="J48" s="30"/>
      <c r="K48" s="28">
        <f>+Entry_Price</f>
        <v>25000000</v>
      </c>
      <c r="L48" s="31"/>
    </row>
    <row r="49" spans="2:12" outlineLevel="1" x14ac:dyDescent="0.2">
      <c r="C49" s="9" t="s">
        <v>102</v>
      </c>
      <c r="E49" s="31">
        <f>+Entry_Price*Mezzanine_LTV</f>
        <v>2500000</v>
      </c>
      <c r="G49" s="9" t="s">
        <v>84</v>
      </c>
      <c r="K49" s="31">
        <f>+Entry_Price*Entry_Fee_Pct</f>
        <v>250000</v>
      </c>
    </row>
    <row r="50" spans="2:12" outlineLevel="1" x14ac:dyDescent="0.2">
      <c r="C50" s="27" t="s">
        <v>103</v>
      </c>
      <c r="D50" s="27"/>
      <c r="E50" s="31">
        <f>($K$52-Senior_Loan-Mezzanine)*Op_Equity_Pct</f>
        <v>1053750</v>
      </c>
      <c r="G50" s="27" t="s">
        <v>85</v>
      </c>
      <c r="K50" s="30">
        <f>(Senior_LTV+Mezzanine_LTV)*Entry_Price*Loan_Fees</f>
        <v>225000</v>
      </c>
    </row>
    <row r="51" spans="2:12" outlineLevel="1" x14ac:dyDescent="0.2">
      <c r="C51" s="27" t="s">
        <v>104</v>
      </c>
      <c r="D51" s="27"/>
      <c r="E51" s="31">
        <f>($K$52-Senior_Loan-Mezzanine)*LP_Equity_Pct</f>
        <v>9483750</v>
      </c>
      <c r="G51" s="9" t="s">
        <v>140</v>
      </c>
      <c r="K51" s="30">
        <f>+Reserve_per_SF*Rentable_SF</f>
        <v>62500</v>
      </c>
    </row>
    <row r="52" spans="2:12" outlineLevel="1" x14ac:dyDescent="0.2">
      <c r="C52" s="32" t="s">
        <v>23</v>
      </c>
      <c r="D52" s="32"/>
      <c r="E52" s="33">
        <f>SUM(E48:E51)</f>
        <v>25537500</v>
      </c>
      <c r="G52" s="32" t="s">
        <v>35</v>
      </c>
      <c r="H52" s="32"/>
      <c r="I52" s="32"/>
      <c r="J52" s="32"/>
      <c r="K52" s="33">
        <f>SUM(K48:K51)</f>
        <v>25537500</v>
      </c>
    </row>
    <row r="53" spans="2:12" x14ac:dyDescent="0.2">
      <c r="D53" s="25"/>
      <c r="E53" s="25"/>
      <c r="G53" s="9"/>
    </row>
    <row r="54" spans="2:12" x14ac:dyDescent="0.2">
      <c r="B54" s="34"/>
      <c r="C54" s="34"/>
      <c r="D54" s="35"/>
      <c r="E54" s="34"/>
      <c r="F54" s="36" t="s">
        <v>18</v>
      </c>
      <c r="G54" s="37" t="s">
        <v>19</v>
      </c>
      <c r="H54" s="38"/>
      <c r="I54" s="38"/>
      <c r="J54" s="38"/>
      <c r="K54" s="38"/>
      <c r="L54" s="39" t="s">
        <v>36</v>
      </c>
    </row>
    <row r="55" spans="2:12" x14ac:dyDescent="0.2">
      <c r="B55" s="5" t="s">
        <v>123</v>
      </c>
      <c r="C55" s="5"/>
      <c r="D55" s="6" t="str">
        <f>+$D$5</f>
        <v>Units:</v>
      </c>
      <c r="E55" s="5"/>
      <c r="F55" s="40">
        <f>Start_Date</f>
        <v>46387</v>
      </c>
      <c r="G55" s="41">
        <f t="shared" ref="G55:K55" si="0">EOMONTH(F55,Months)</f>
        <v>46752</v>
      </c>
      <c r="H55" s="40">
        <f t="shared" si="0"/>
        <v>47118</v>
      </c>
      <c r="I55" s="40">
        <f t="shared" si="0"/>
        <v>47483</v>
      </c>
      <c r="J55" s="40">
        <f t="shared" si="0"/>
        <v>47848</v>
      </c>
      <c r="K55" s="40">
        <f t="shared" si="0"/>
        <v>48213</v>
      </c>
      <c r="L55" s="40" t="s">
        <v>37</v>
      </c>
    </row>
    <row r="56" spans="2:12" outlineLevel="1" x14ac:dyDescent="0.2">
      <c r="D56" s="4"/>
    </row>
    <row r="57" spans="2:12" outlineLevel="1" x14ac:dyDescent="0.2">
      <c r="C57" s="81" t="s">
        <v>122</v>
      </c>
      <c r="D57" s="82"/>
      <c r="E57" s="83"/>
      <c r="F57" s="83"/>
      <c r="G57" s="83"/>
      <c r="H57" s="83"/>
      <c r="I57" s="83"/>
      <c r="J57" s="83"/>
      <c r="K57" s="83"/>
      <c r="L57" s="83"/>
    </row>
    <row r="58" spans="2:12" outlineLevel="1" x14ac:dyDescent="0.2">
      <c r="C58" s="9" t="s">
        <v>112</v>
      </c>
      <c r="D58" s="7" t="s">
        <v>14</v>
      </c>
      <c r="E58" s="15">
        <v>10</v>
      </c>
    </row>
    <row r="59" spans="2:12" outlineLevel="1" x14ac:dyDescent="0.2">
      <c r="C59" s="9" t="s">
        <v>111</v>
      </c>
      <c r="D59" s="20" t="s">
        <v>6</v>
      </c>
      <c r="E59" s="16">
        <v>0.7</v>
      </c>
    </row>
    <row r="60" spans="2:12" outlineLevel="1" x14ac:dyDescent="0.2">
      <c r="C60" s="9" t="s">
        <v>116</v>
      </c>
      <c r="D60" s="7" t="s">
        <v>4</v>
      </c>
      <c r="E60" s="68">
        <v>6</v>
      </c>
    </row>
    <row r="61" spans="2:12" outlineLevel="1" x14ac:dyDescent="0.2">
      <c r="D61" s="4"/>
    </row>
    <row r="62" spans="2:12" outlineLevel="1" x14ac:dyDescent="0.2">
      <c r="C62" s="87" t="s">
        <v>119</v>
      </c>
      <c r="D62" s="85"/>
      <c r="E62" s="85" t="s">
        <v>120</v>
      </c>
      <c r="F62" s="86" t="s">
        <v>121</v>
      </c>
    </row>
    <row r="63" spans="2:12" outlineLevel="1" x14ac:dyDescent="0.2">
      <c r="C63" s="9" t="s">
        <v>115</v>
      </c>
      <c r="D63" s="7" t="s">
        <v>4</v>
      </c>
      <c r="E63" s="88">
        <v>6</v>
      </c>
      <c r="F63" s="88">
        <v>3</v>
      </c>
    </row>
    <row r="64" spans="2:12" outlineLevel="1" x14ac:dyDescent="0.2">
      <c r="C64" s="9" t="s">
        <v>117</v>
      </c>
      <c r="D64" s="7" t="s">
        <v>66</v>
      </c>
      <c r="E64" s="10">
        <v>10</v>
      </c>
      <c r="F64" s="73">
        <v>3</v>
      </c>
    </row>
    <row r="65" spans="3:13" outlineLevel="1" x14ac:dyDescent="0.2">
      <c r="C65" s="9" t="s">
        <v>118</v>
      </c>
      <c r="D65" s="20" t="s">
        <v>6</v>
      </c>
      <c r="E65" s="16">
        <v>0.03</v>
      </c>
      <c r="F65" s="16">
        <v>0.01</v>
      </c>
      <c r="H65" s="29"/>
    </row>
    <row r="66" spans="3:13" outlineLevel="1" x14ac:dyDescent="0.2">
      <c r="D66" s="4"/>
    </row>
    <row r="67" spans="3:13" outlineLevel="1" x14ac:dyDescent="0.2">
      <c r="C67" s="81" t="s">
        <v>105</v>
      </c>
      <c r="D67" s="82"/>
      <c r="E67" s="83"/>
      <c r="F67" s="83"/>
      <c r="G67" s="83"/>
      <c r="H67" s="83"/>
      <c r="I67" s="83"/>
      <c r="J67" s="83"/>
      <c r="K67" s="83"/>
      <c r="L67" s="83"/>
    </row>
    <row r="68" spans="3:13" outlineLevel="1" x14ac:dyDescent="0.2">
      <c r="C68" s="9" t="s">
        <v>107</v>
      </c>
      <c r="D68" s="7" t="s">
        <v>8</v>
      </c>
      <c r="E68" s="80">
        <v>10000</v>
      </c>
    </row>
    <row r="69" spans="3:13" outlineLevel="1" x14ac:dyDescent="0.2">
      <c r="C69" s="9" t="s">
        <v>110</v>
      </c>
      <c r="D69" s="7" t="s">
        <v>3</v>
      </c>
      <c r="E69" s="12">
        <v>47483</v>
      </c>
    </row>
    <row r="70" spans="3:13" outlineLevel="1" x14ac:dyDescent="0.2">
      <c r="C70" s="9"/>
      <c r="D70" s="7"/>
      <c r="E70" s="84"/>
    </row>
    <row r="71" spans="3:13" outlineLevel="1" x14ac:dyDescent="0.2">
      <c r="C71" s="9" t="s">
        <v>108</v>
      </c>
      <c r="D71" s="7" t="s">
        <v>66</v>
      </c>
      <c r="F71" s="10">
        <v>120</v>
      </c>
      <c r="G71" s="22">
        <f>+F71*(1+G72)</f>
        <v>124.80000000000001</v>
      </c>
      <c r="H71" s="22">
        <f t="shared" ref="H71:L71" si="1">+G71*(1+H72)</f>
        <v>129.79200000000003</v>
      </c>
      <c r="I71" s="22">
        <f t="shared" si="1"/>
        <v>134.98368000000005</v>
      </c>
      <c r="J71" s="22">
        <f t="shared" si="1"/>
        <v>139.03319040000005</v>
      </c>
      <c r="K71" s="22">
        <f t="shared" si="1"/>
        <v>143.20418611200006</v>
      </c>
      <c r="L71" s="22">
        <f t="shared" si="1"/>
        <v>147.50031169536007</v>
      </c>
    </row>
    <row r="72" spans="3:13" outlineLevel="1" x14ac:dyDescent="0.2">
      <c r="C72" s="9" t="s">
        <v>109</v>
      </c>
      <c r="D72" s="20" t="s">
        <v>6</v>
      </c>
      <c r="G72" s="16">
        <v>0.04</v>
      </c>
      <c r="H72" s="16">
        <v>0.04</v>
      </c>
      <c r="I72" s="16">
        <v>0.04</v>
      </c>
      <c r="J72" s="16">
        <v>0.03</v>
      </c>
      <c r="K72" s="16">
        <v>0.03</v>
      </c>
      <c r="L72" s="16">
        <v>0.03</v>
      </c>
    </row>
    <row r="73" spans="3:13" outlineLevel="1" x14ac:dyDescent="0.2">
      <c r="C73" s="9"/>
      <c r="D73" s="20"/>
      <c r="G73" s="72"/>
      <c r="H73" s="72"/>
      <c r="I73" s="30"/>
      <c r="J73" s="72"/>
      <c r="K73" s="72"/>
      <c r="L73" s="72"/>
    </row>
    <row r="74" spans="3:13" outlineLevel="1" x14ac:dyDescent="0.2">
      <c r="C74" s="9" t="s">
        <v>62</v>
      </c>
      <c r="D74" s="20" t="s">
        <v>12</v>
      </c>
      <c r="F74" s="30">
        <f>+F71*$E68</f>
        <v>1200000</v>
      </c>
      <c r="G74" s="30">
        <f>+G71*$E68</f>
        <v>1248000</v>
      </c>
      <c r="H74" s="30">
        <f t="shared" ref="H74:L74" si="2">+H71*$E68</f>
        <v>1297920.0000000002</v>
      </c>
      <c r="I74" s="30">
        <f t="shared" si="2"/>
        <v>1349836.8000000005</v>
      </c>
      <c r="J74" s="30">
        <f t="shared" si="2"/>
        <v>1390331.9040000006</v>
      </c>
      <c r="K74" s="30">
        <f t="shared" si="2"/>
        <v>1432041.8611200005</v>
      </c>
      <c r="L74" s="30">
        <f t="shared" si="2"/>
        <v>1475003.1169536007</v>
      </c>
      <c r="M74" s="30"/>
    </row>
    <row r="75" spans="3:13" outlineLevel="1" x14ac:dyDescent="0.2">
      <c r="C75" s="9" t="s">
        <v>78</v>
      </c>
      <c r="D75" s="20" t="s">
        <v>12</v>
      </c>
      <c r="F75" s="75">
        <v>0</v>
      </c>
      <c r="G75" s="75">
        <v>0</v>
      </c>
      <c r="H75" s="75">
        <v>0</v>
      </c>
      <c r="I75" s="30">
        <f>-I74*(1-Renewal_Probability)*(Down_Months/Months)</f>
        <v>-202475.52000000011</v>
      </c>
      <c r="J75" s="75">
        <v>0</v>
      </c>
      <c r="K75" s="75">
        <v>0</v>
      </c>
      <c r="L75" s="75">
        <v>0</v>
      </c>
    </row>
    <row r="76" spans="3:13" outlineLevel="1" x14ac:dyDescent="0.2">
      <c r="C76" s="9" t="s">
        <v>80</v>
      </c>
      <c r="D76" s="20" t="s">
        <v>12</v>
      </c>
      <c r="F76" s="75">
        <v>0</v>
      </c>
      <c r="G76" s="75">
        <v>0</v>
      </c>
      <c r="H76" s="75">
        <v>0</v>
      </c>
      <c r="I76" s="30">
        <f>-I74*(1-Renewal_Probability)*(New_Free_Rent_Months/Months)-I74*Renewal_Probability*(Renewal_Free_Rent_Months/Months)</f>
        <v>-438696.9600000002</v>
      </c>
      <c r="J76" s="75">
        <v>0</v>
      </c>
      <c r="K76" s="75">
        <v>0</v>
      </c>
      <c r="L76" s="75">
        <v>0</v>
      </c>
    </row>
    <row r="77" spans="3:13" outlineLevel="1" x14ac:dyDescent="0.2">
      <c r="C77" s="9" t="s">
        <v>113</v>
      </c>
      <c r="D77" s="20" t="s">
        <v>12</v>
      </c>
      <c r="F77" s="75">
        <v>0</v>
      </c>
      <c r="G77" s="75">
        <v>0</v>
      </c>
      <c r="H77" s="75">
        <v>0</v>
      </c>
      <c r="I77" s="30">
        <f>-$E68*(1-Renewal_Probability)*New_TIs-$E68*Renewal_Probability*Renewal_TIs</f>
        <v>-51000</v>
      </c>
      <c r="J77" s="75">
        <v>0</v>
      </c>
      <c r="K77" s="75">
        <v>0</v>
      </c>
      <c r="L77" s="75">
        <v>0</v>
      </c>
    </row>
    <row r="78" spans="3:13" outlineLevel="1" x14ac:dyDescent="0.2">
      <c r="C78" s="9" t="s">
        <v>114</v>
      </c>
      <c r="D78" s="20" t="s">
        <v>12</v>
      </c>
      <c r="F78" s="75">
        <v>0</v>
      </c>
      <c r="G78" s="75">
        <v>0</v>
      </c>
      <c r="H78" s="75">
        <v>0</v>
      </c>
      <c r="I78" s="30">
        <f>-(1-Renewal_Probability)*I71*$E68*New_Lease_Years*New_LC_Pct-Renewal_Probability*I71*$E68*New_Lease_Years*Renewal_LC_Pct</f>
        <v>-215973.88800000009</v>
      </c>
      <c r="J78" s="75">
        <v>0</v>
      </c>
      <c r="K78" s="75">
        <v>0</v>
      </c>
      <c r="L78" s="75">
        <v>0</v>
      </c>
    </row>
    <row r="79" spans="3:13" outlineLevel="1" x14ac:dyDescent="0.2">
      <c r="D79" s="4"/>
      <c r="I79" s="30"/>
    </row>
    <row r="80" spans="3:13" outlineLevel="1" x14ac:dyDescent="0.2">
      <c r="C80" s="81" t="s">
        <v>106</v>
      </c>
      <c r="D80" s="82"/>
      <c r="E80" s="83"/>
      <c r="F80" s="83"/>
      <c r="G80" s="83"/>
      <c r="H80" s="83"/>
      <c r="I80" s="83"/>
      <c r="J80" s="83"/>
      <c r="K80" s="83"/>
      <c r="L80" s="83"/>
    </row>
    <row r="81" spans="3:12" outlineLevel="1" x14ac:dyDescent="0.2">
      <c r="C81" s="9" t="s">
        <v>107</v>
      </c>
      <c r="D81" s="7" t="s">
        <v>8</v>
      </c>
      <c r="E81" s="17">
        <v>7000</v>
      </c>
    </row>
    <row r="82" spans="3:12" outlineLevel="1" x14ac:dyDescent="0.2">
      <c r="C82" s="9" t="s">
        <v>110</v>
      </c>
      <c r="D82" s="7" t="s">
        <v>3</v>
      </c>
      <c r="E82" s="12">
        <v>47848</v>
      </c>
    </row>
    <row r="83" spans="3:12" outlineLevel="1" x14ac:dyDescent="0.2">
      <c r="D83" s="4"/>
    </row>
    <row r="84" spans="3:12" outlineLevel="1" x14ac:dyDescent="0.2">
      <c r="C84" s="9" t="s">
        <v>108</v>
      </c>
      <c r="D84" s="7" t="s">
        <v>66</v>
      </c>
      <c r="F84" s="10">
        <v>105</v>
      </c>
      <c r="G84" s="22">
        <f>+F84*(1+G85)</f>
        <v>110.25</v>
      </c>
      <c r="H84" s="22">
        <f t="shared" ref="H84" si="3">+G84*(1+H85)</f>
        <v>115.7625</v>
      </c>
      <c r="I84" s="22">
        <f t="shared" ref="I84" si="4">+H84*(1+I85)</f>
        <v>120.393</v>
      </c>
      <c r="J84" s="22">
        <f t="shared" ref="J84" si="5">+I84*(1+J85)</f>
        <v>125.20872</v>
      </c>
      <c r="K84" s="22">
        <f t="shared" ref="K84" si="6">+J84*(1+K85)</f>
        <v>128.96498160000002</v>
      </c>
      <c r="L84" s="22">
        <f t="shared" ref="L84" si="7">+K84*(1+L85)</f>
        <v>132.83393104800001</v>
      </c>
    </row>
    <row r="85" spans="3:12" outlineLevel="1" x14ac:dyDescent="0.2">
      <c r="C85" s="9" t="s">
        <v>109</v>
      </c>
      <c r="D85" s="20" t="s">
        <v>6</v>
      </c>
      <c r="G85" s="16">
        <v>0.05</v>
      </c>
      <c r="H85" s="16">
        <v>0.05</v>
      </c>
      <c r="I85" s="16">
        <v>0.04</v>
      </c>
      <c r="J85" s="16">
        <v>0.04</v>
      </c>
      <c r="K85" s="16">
        <v>0.03</v>
      </c>
      <c r="L85" s="16">
        <v>0.03</v>
      </c>
    </row>
    <row r="86" spans="3:12" outlineLevel="1" x14ac:dyDescent="0.2">
      <c r="C86" s="9"/>
      <c r="D86" s="20"/>
    </row>
    <row r="87" spans="3:12" outlineLevel="1" x14ac:dyDescent="0.2">
      <c r="C87" s="9" t="s">
        <v>62</v>
      </c>
      <c r="D87" s="20" t="s">
        <v>12</v>
      </c>
      <c r="F87" s="30">
        <f>+F84*$E81</f>
        <v>735000</v>
      </c>
      <c r="G87" s="30">
        <f>+G84*$E81</f>
        <v>771750</v>
      </c>
      <c r="H87" s="30">
        <f t="shared" ref="H87:L87" si="8">+H84*$E81</f>
        <v>810337.5</v>
      </c>
      <c r="I87" s="30">
        <f t="shared" si="8"/>
        <v>842751</v>
      </c>
      <c r="J87" s="30">
        <f t="shared" si="8"/>
        <v>876461.04</v>
      </c>
      <c r="K87" s="30">
        <f t="shared" si="8"/>
        <v>902754.87120000005</v>
      </c>
      <c r="L87" s="30">
        <f t="shared" si="8"/>
        <v>929837.51733600011</v>
      </c>
    </row>
    <row r="88" spans="3:12" outlineLevel="1" x14ac:dyDescent="0.2">
      <c r="C88" s="9" t="s">
        <v>78</v>
      </c>
      <c r="D88" s="20" t="s">
        <v>12</v>
      </c>
      <c r="F88" s="75">
        <v>0</v>
      </c>
      <c r="G88" s="75">
        <v>0</v>
      </c>
      <c r="H88" s="75">
        <v>0</v>
      </c>
      <c r="I88" s="75">
        <v>0</v>
      </c>
      <c r="J88" s="30">
        <f>-J87*(1-Renewal_Probability)*(Down_Months/Months)</f>
        <v>-131469.15600000002</v>
      </c>
      <c r="K88" s="75">
        <v>0</v>
      </c>
      <c r="L88" s="75">
        <v>0</v>
      </c>
    </row>
    <row r="89" spans="3:12" outlineLevel="1" x14ac:dyDescent="0.2">
      <c r="C89" s="9" t="s">
        <v>80</v>
      </c>
      <c r="D89" s="20" t="s">
        <v>12</v>
      </c>
      <c r="F89" s="75">
        <v>0</v>
      </c>
      <c r="G89" s="75">
        <v>0</v>
      </c>
      <c r="H89" s="75">
        <v>0</v>
      </c>
      <c r="I89" s="75">
        <v>0</v>
      </c>
      <c r="J89" s="30">
        <f>-J87*(1-Renewal_Probability)*(New_Free_Rent_Months/Months)-J87*Renewal_Probability*(Renewal_Free_Rent_Months/Months)</f>
        <v>-284849.83799999999</v>
      </c>
      <c r="K89" s="75">
        <v>0</v>
      </c>
      <c r="L89" s="75">
        <v>0</v>
      </c>
    </row>
    <row r="90" spans="3:12" outlineLevel="1" x14ac:dyDescent="0.2">
      <c r="C90" s="9" t="s">
        <v>113</v>
      </c>
      <c r="D90" s="20" t="s">
        <v>12</v>
      </c>
      <c r="F90" s="75">
        <v>0</v>
      </c>
      <c r="G90" s="75">
        <v>0</v>
      </c>
      <c r="H90" s="75">
        <v>0</v>
      </c>
      <c r="I90" s="75">
        <v>0</v>
      </c>
      <c r="J90" s="30">
        <f>-$E81*(1-Renewal_Probability)*New_TIs-$E81*Renewal_Probability*Renewal_TIs</f>
        <v>-35700</v>
      </c>
      <c r="K90" s="75">
        <v>0</v>
      </c>
      <c r="L90" s="75">
        <v>0</v>
      </c>
    </row>
    <row r="91" spans="3:12" outlineLevel="1" x14ac:dyDescent="0.2">
      <c r="C91" s="9" t="s">
        <v>114</v>
      </c>
      <c r="D91" s="20" t="s">
        <v>12</v>
      </c>
      <c r="F91" s="75">
        <v>0</v>
      </c>
      <c r="G91" s="75">
        <v>0</v>
      </c>
      <c r="H91" s="75">
        <v>0</v>
      </c>
      <c r="I91" s="75">
        <v>0</v>
      </c>
      <c r="J91" s="30">
        <f>-(1-Renewal_Probability)*J84*$E81*New_Lease_Years*New_LC_Pct-Renewal_Probability*J84*$E81*New_Lease_Years*Renewal_LC_Pct</f>
        <v>-140233.76640000002</v>
      </c>
      <c r="K91" s="75">
        <v>0</v>
      </c>
      <c r="L91" s="75">
        <v>0</v>
      </c>
    </row>
    <row r="92" spans="3:12" outlineLevel="1" x14ac:dyDescent="0.2">
      <c r="D92" s="4"/>
    </row>
    <row r="93" spans="3:12" outlineLevel="1" x14ac:dyDescent="0.2">
      <c r="C93" s="9" t="s">
        <v>63</v>
      </c>
      <c r="D93" s="20" t="s">
        <v>12</v>
      </c>
      <c r="F93" s="30">
        <f t="shared" ref="F93:L93" si="9">-F134*($E$81/Rentable_SF)</f>
        <v>280000</v>
      </c>
      <c r="G93" s="30">
        <f t="shared" si="9"/>
        <v>285600</v>
      </c>
      <c r="H93" s="30">
        <f t="shared" si="9"/>
        <v>291312</v>
      </c>
      <c r="I93" s="30">
        <f t="shared" si="9"/>
        <v>297138.24000000005</v>
      </c>
      <c r="J93" s="30">
        <f>-J134*($E$81/Rentable_SF)+J134*($E$81/Rentable_SF)*(1-Renewal_Probability)*(Down_Months/Months)</f>
        <v>257618.85407999999</v>
      </c>
      <c r="K93" s="30">
        <f t="shared" si="9"/>
        <v>309142.62489600002</v>
      </c>
      <c r="L93" s="30">
        <f t="shared" si="9"/>
        <v>315325.47739392001</v>
      </c>
    </row>
    <row r="94" spans="3:12" outlineLevel="1" x14ac:dyDescent="0.2">
      <c r="D94" s="4"/>
      <c r="E94" s="95"/>
    </row>
    <row r="95" spans="3:12" outlineLevel="1" x14ac:dyDescent="0.2">
      <c r="C95" s="81" t="s">
        <v>139</v>
      </c>
      <c r="D95" s="82"/>
      <c r="E95" s="83"/>
      <c r="F95" s="83"/>
      <c r="G95" s="83"/>
      <c r="H95" s="83"/>
      <c r="I95" s="83"/>
      <c r="J95" s="83"/>
      <c r="K95" s="83"/>
      <c r="L95" s="83"/>
    </row>
    <row r="96" spans="3:12" outlineLevel="1" x14ac:dyDescent="0.2">
      <c r="C96" s="9" t="s">
        <v>107</v>
      </c>
      <c r="D96" s="7" t="s">
        <v>8</v>
      </c>
      <c r="E96" s="17">
        <v>6000</v>
      </c>
    </row>
    <row r="97" spans="3:12" outlineLevel="1" x14ac:dyDescent="0.2">
      <c r="C97" s="9" t="s">
        <v>110</v>
      </c>
      <c r="D97" s="7" t="s">
        <v>3</v>
      </c>
      <c r="E97" s="12" t="s">
        <v>154</v>
      </c>
    </row>
    <row r="98" spans="3:12" outlineLevel="1" x14ac:dyDescent="0.2">
      <c r="D98" s="4"/>
    </row>
    <row r="99" spans="3:12" outlineLevel="1" x14ac:dyDescent="0.2">
      <c r="C99" s="9" t="s">
        <v>108</v>
      </c>
      <c r="D99" s="7" t="s">
        <v>66</v>
      </c>
      <c r="F99" s="10">
        <v>90</v>
      </c>
      <c r="G99" s="22">
        <f>+F99*(1+G100)</f>
        <v>95.4</v>
      </c>
      <c r="H99" s="22">
        <f t="shared" ref="H99" si="10">+G99*(1+H100)</f>
        <v>100.17000000000002</v>
      </c>
      <c r="I99" s="22">
        <f t="shared" ref="I99" si="11">+H99*(1+I100)</f>
        <v>104.67765000000001</v>
      </c>
      <c r="J99" s="22">
        <f t="shared" ref="J99" si="12">+I99*(1+J100)</f>
        <v>108.86475600000001</v>
      </c>
      <c r="K99" s="22">
        <f t="shared" ref="K99" si="13">+J99*(1+K100)</f>
        <v>112.13069868000002</v>
      </c>
      <c r="L99" s="22">
        <f t="shared" ref="L99" si="14">+K99*(1+L100)</f>
        <v>115.49461964040003</v>
      </c>
    </row>
    <row r="100" spans="3:12" outlineLevel="1" x14ac:dyDescent="0.2">
      <c r="C100" s="9" t="s">
        <v>109</v>
      </c>
      <c r="D100" s="20" t="s">
        <v>6</v>
      </c>
      <c r="G100" s="16">
        <v>0.06</v>
      </c>
      <c r="H100" s="16">
        <v>0.05</v>
      </c>
      <c r="I100" s="16">
        <v>4.4999999999999998E-2</v>
      </c>
      <c r="J100" s="16">
        <v>0.04</v>
      </c>
      <c r="K100" s="16">
        <v>0.03</v>
      </c>
      <c r="L100" s="16">
        <v>0.03</v>
      </c>
    </row>
    <row r="101" spans="3:12" outlineLevel="1" x14ac:dyDescent="0.2">
      <c r="D101" s="4"/>
    </row>
    <row r="102" spans="3:12" outlineLevel="1" x14ac:dyDescent="0.2">
      <c r="C102" s="9" t="s">
        <v>62</v>
      </c>
      <c r="D102" s="20" t="s">
        <v>12</v>
      </c>
      <c r="F102" s="30">
        <f>+F99*$E96</f>
        <v>540000</v>
      </c>
      <c r="G102" s="30">
        <f>+G99*$E96</f>
        <v>572400</v>
      </c>
      <c r="H102" s="30">
        <f t="shared" ref="H102:L102" si="15">+H99*$E96</f>
        <v>601020.00000000012</v>
      </c>
      <c r="I102" s="30">
        <f t="shared" si="15"/>
        <v>628065.90000000014</v>
      </c>
      <c r="J102" s="30">
        <f t="shared" si="15"/>
        <v>653188.53600000008</v>
      </c>
      <c r="K102" s="30">
        <f t="shared" si="15"/>
        <v>672784.19208000018</v>
      </c>
      <c r="L102" s="30">
        <f t="shared" si="15"/>
        <v>692967.71784240019</v>
      </c>
    </row>
    <row r="103" spans="3:12" outlineLevel="1" x14ac:dyDescent="0.2">
      <c r="C103" s="9" t="s">
        <v>78</v>
      </c>
      <c r="D103" s="20" t="s">
        <v>12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</row>
    <row r="104" spans="3:12" outlineLevel="1" x14ac:dyDescent="0.2">
      <c r="C104" s="9" t="s">
        <v>80</v>
      </c>
      <c r="D104" s="20" t="s">
        <v>12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</row>
    <row r="105" spans="3:12" outlineLevel="1" x14ac:dyDescent="0.2">
      <c r="C105" s="9" t="s">
        <v>113</v>
      </c>
      <c r="D105" s="20" t="s">
        <v>12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</row>
    <row r="106" spans="3:12" outlineLevel="1" x14ac:dyDescent="0.2">
      <c r="C106" s="9" t="s">
        <v>114</v>
      </c>
      <c r="D106" s="20" t="s">
        <v>12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</row>
    <row r="107" spans="3:12" outlineLevel="1" x14ac:dyDescent="0.2">
      <c r="D107" s="4"/>
    </row>
    <row r="108" spans="3:12" outlineLevel="1" x14ac:dyDescent="0.2">
      <c r="C108" s="9" t="s">
        <v>63</v>
      </c>
      <c r="D108" s="20" t="s">
        <v>12</v>
      </c>
      <c r="F108" s="30">
        <f t="shared" ref="F108:L108" si="16">-SUM(F131:F134)*($E$96/Rentable_SF)</f>
        <v>300000</v>
      </c>
      <c r="G108" s="30">
        <f t="shared" si="16"/>
        <v>306690</v>
      </c>
      <c r="H108" s="30">
        <f t="shared" si="16"/>
        <v>313536.45</v>
      </c>
      <c r="I108" s="30">
        <f t="shared" si="16"/>
        <v>320543.22974999994</v>
      </c>
      <c r="J108" s="30">
        <f t="shared" si="16"/>
        <v>327714.32168624998</v>
      </c>
      <c r="K108" s="30">
        <f t="shared" si="16"/>
        <v>335053.81382949371</v>
      </c>
      <c r="L108" s="30">
        <f t="shared" si="16"/>
        <v>342565.9027697721</v>
      </c>
    </row>
    <row r="109" spans="3:12" outlineLevel="1" x14ac:dyDescent="0.2">
      <c r="D109" s="4"/>
    </row>
    <row r="110" spans="3:12" outlineLevel="1" x14ac:dyDescent="0.2">
      <c r="C110" s="18" t="s">
        <v>83</v>
      </c>
      <c r="D110" s="7" t="s">
        <v>12</v>
      </c>
      <c r="F110" s="30">
        <f>+F77+F78+F90+F91+F105+F106</f>
        <v>0</v>
      </c>
      <c r="G110" s="30">
        <f t="shared" ref="G110:L110" si="17">+G77+G78+G90+G91+G105+G106</f>
        <v>0</v>
      </c>
      <c r="H110" s="30">
        <f t="shared" si="17"/>
        <v>0</v>
      </c>
      <c r="I110" s="30">
        <f t="shared" si="17"/>
        <v>-266973.88800000009</v>
      </c>
      <c r="J110" s="30">
        <f t="shared" si="17"/>
        <v>-175933.76640000002</v>
      </c>
      <c r="K110" s="30">
        <f t="shared" si="17"/>
        <v>0</v>
      </c>
      <c r="L110" s="30">
        <f t="shared" si="17"/>
        <v>0</v>
      </c>
    </row>
    <row r="111" spans="3:12" outlineLevel="1" x14ac:dyDescent="0.2">
      <c r="C111" s="18" t="s">
        <v>79</v>
      </c>
      <c r="D111" s="7" t="s">
        <v>12</v>
      </c>
      <c r="E111" s="103">
        <f>+K51</f>
        <v>62500</v>
      </c>
      <c r="F111" s="30">
        <f>+E111-F135-F142</f>
        <v>125000</v>
      </c>
      <c r="G111" s="30">
        <f t="shared" ref="G111:L111" si="18">+F111-G135-G142</f>
        <v>189375</v>
      </c>
      <c r="H111" s="30">
        <f t="shared" si="18"/>
        <v>255681.25</v>
      </c>
      <c r="I111" s="30">
        <f t="shared" si="18"/>
        <v>57002.799499999906</v>
      </c>
      <c r="J111" s="30">
        <f t="shared" si="18"/>
        <v>0</v>
      </c>
      <c r="K111" s="30">
        <f t="shared" si="18"/>
        <v>72454.629643749999</v>
      </c>
      <c r="L111" s="30">
        <f t="shared" si="18"/>
        <v>147082.89817681251</v>
      </c>
    </row>
    <row r="112" spans="3:12" outlineLevel="1" x14ac:dyDescent="0.2">
      <c r="D112" s="4"/>
    </row>
    <row r="113" spans="2:12" outlineLevel="1" x14ac:dyDescent="0.2">
      <c r="B113" s="2"/>
      <c r="C113" s="101" t="s">
        <v>82</v>
      </c>
      <c r="D113" s="42" t="s">
        <v>45</v>
      </c>
      <c r="E113" s="2"/>
      <c r="F113" s="43">
        <f>YEAR(F118)</f>
        <v>2026</v>
      </c>
      <c r="G113" s="43">
        <f>YEAR(G118)</f>
        <v>2027</v>
      </c>
      <c r="H113" s="43">
        <f t="shared" ref="H113:K113" si="19">YEAR(H118)</f>
        <v>2028</v>
      </c>
      <c r="I113" s="43">
        <f t="shared" si="19"/>
        <v>2029</v>
      </c>
      <c r="J113" s="43">
        <f t="shared" si="19"/>
        <v>2030</v>
      </c>
      <c r="K113" s="43">
        <f t="shared" si="19"/>
        <v>2031</v>
      </c>
      <c r="L113" s="43">
        <f>YEAR(EOMONTH(K118,Months))</f>
        <v>2032</v>
      </c>
    </row>
    <row r="114" spans="2:12" x14ac:dyDescent="0.2">
      <c r="D114" s="4"/>
    </row>
    <row r="115" spans="2:12" x14ac:dyDescent="0.2">
      <c r="C115" s="55" t="s">
        <v>153</v>
      </c>
      <c r="D115" s="4" t="s">
        <v>8</v>
      </c>
      <c r="F115" s="104">
        <f t="shared" ref="F115:L115" si="20">Rentable_SF-$E$68-$E$81-$E$96</f>
        <v>2000</v>
      </c>
      <c r="G115" s="104">
        <f t="shared" si="20"/>
        <v>2000</v>
      </c>
      <c r="H115" s="104">
        <f t="shared" si="20"/>
        <v>2000</v>
      </c>
      <c r="I115" s="104">
        <f t="shared" si="20"/>
        <v>2000</v>
      </c>
      <c r="J115" s="104">
        <f t="shared" si="20"/>
        <v>2000</v>
      </c>
      <c r="K115" s="104">
        <f t="shared" si="20"/>
        <v>2000</v>
      </c>
      <c r="L115" s="104">
        <f t="shared" si="20"/>
        <v>2000</v>
      </c>
    </row>
    <row r="116" spans="2:12" x14ac:dyDescent="0.2">
      <c r="D116" s="4"/>
    </row>
    <row r="117" spans="2:12" x14ac:dyDescent="0.2">
      <c r="B117" s="34"/>
      <c r="C117" s="34"/>
      <c r="D117" s="35"/>
      <c r="E117" s="44"/>
      <c r="F117" s="36" t="str">
        <f>+$F$54</f>
        <v>Historical:</v>
      </c>
      <c r="G117" s="37" t="str">
        <f>+$G$54</f>
        <v>Projected:</v>
      </c>
      <c r="H117" s="38"/>
      <c r="I117" s="38"/>
      <c r="J117" s="38"/>
      <c r="K117" s="38"/>
      <c r="L117" s="45" t="str">
        <f>+$L$54</f>
        <v>Stabilized</v>
      </c>
    </row>
    <row r="118" spans="2:12" x14ac:dyDescent="0.2">
      <c r="B118" s="5" t="s">
        <v>24</v>
      </c>
      <c r="C118" s="5"/>
      <c r="D118" s="6" t="str">
        <f>+$D$5</f>
        <v>Units:</v>
      </c>
      <c r="E118" s="46"/>
      <c r="F118" s="47">
        <f>+$F$55</f>
        <v>46387</v>
      </c>
      <c r="G118" s="41">
        <f>+$G$55</f>
        <v>46752</v>
      </c>
      <c r="H118" s="40">
        <f>+$H$55</f>
        <v>47118</v>
      </c>
      <c r="I118" s="40">
        <f>+$I$55</f>
        <v>47483</v>
      </c>
      <c r="J118" s="40">
        <f>+$J$55</f>
        <v>47848</v>
      </c>
      <c r="K118" s="40">
        <f>+$K$55</f>
        <v>48213</v>
      </c>
      <c r="L118" s="40" t="str">
        <f>+$L$55</f>
        <v>Year:</v>
      </c>
    </row>
    <row r="119" spans="2:12" outlineLevel="1" x14ac:dyDescent="0.2">
      <c r="D119" s="4"/>
      <c r="E119" s="48"/>
      <c r="F119" s="48"/>
      <c r="G119" s="48"/>
      <c r="H119" s="30"/>
      <c r="I119" s="30"/>
      <c r="J119" s="30"/>
      <c r="K119" s="30"/>
    </row>
    <row r="120" spans="2:12" outlineLevel="1" x14ac:dyDescent="0.2">
      <c r="C120" s="2" t="s">
        <v>25</v>
      </c>
      <c r="D120" s="4"/>
      <c r="E120" s="30"/>
      <c r="F120" s="29"/>
      <c r="G120" s="30"/>
      <c r="H120" s="29"/>
      <c r="I120" s="30"/>
      <c r="J120" s="30"/>
      <c r="K120" s="30"/>
    </row>
    <row r="121" spans="2:12" outlineLevel="1" x14ac:dyDescent="0.2">
      <c r="C121" s="9" t="s">
        <v>62</v>
      </c>
      <c r="D121" s="7" t="s">
        <v>12</v>
      </c>
      <c r="E121" s="30"/>
      <c r="F121" s="28">
        <f t="shared" ref="F121:L121" si="21">+F74+F87+F102+(Rentable_SF-$E$68-$E$81-$E$96)*F$71</f>
        <v>2715000</v>
      </c>
      <c r="G121" s="28">
        <f t="shared" si="21"/>
        <v>2841750</v>
      </c>
      <c r="H121" s="28">
        <f t="shared" si="21"/>
        <v>2968861.5</v>
      </c>
      <c r="I121" s="28">
        <f t="shared" si="21"/>
        <v>3090621.0600000015</v>
      </c>
      <c r="J121" s="28">
        <f t="shared" si="21"/>
        <v>3198047.8608000004</v>
      </c>
      <c r="K121" s="28">
        <f t="shared" si="21"/>
        <v>3293989.2966240011</v>
      </c>
      <c r="L121" s="28">
        <f t="shared" si="21"/>
        <v>3392808.9755227212</v>
      </c>
    </row>
    <row r="122" spans="2:12" outlineLevel="1" x14ac:dyDescent="0.2">
      <c r="C122" s="9" t="s">
        <v>78</v>
      </c>
      <c r="D122" s="7" t="s">
        <v>12</v>
      </c>
      <c r="E122" s="30"/>
      <c r="F122" s="31">
        <f>+F75+F88+F103</f>
        <v>0</v>
      </c>
      <c r="G122" s="31">
        <f t="shared" ref="G122:L122" si="22">+G75+G88+G103</f>
        <v>0</v>
      </c>
      <c r="H122" s="31">
        <f t="shared" si="22"/>
        <v>0</v>
      </c>
      <c r="I122" s="31">
        <f t="shared" si="22"/>
        <v>-202475.52000000011</v>
      </c>
      <c r="J122" s="31">
        <f t="shared" si="22"/>
        <v>-131469.15600000002</v>
      </c>
      <c r="K122" s="31">
        <f t="shared" si="22"/>
        <v>0</v>
      </c>
      <c r="L122" s="31">
        <f t="shared" si="22"/>
        <v>0</v>
      </c>
    </row>
    <row r="123" spans="2:12" outlineLevel="1" x14ac:dyDescent="0.2">
      <c r="C123" s="9" t="s">
        <v>80</v>
      </c>
      <c r="D123" s="7" t="s">
        <v>12</v>
      </c>
      <c r="E123" s="30"/>
      <c r="F123" s="31">
        <f t="shared" ref="F123:L123" si="23">+F76+F89+F104</f>
        <v>0</v>
      </c>
      <c r="G123" s="31">
        <f t="shared" si="23"/>
        <v>0</v>
      </c>
      <c r="H123" s="31">
        <f t="shared" si="23"/>
        <v>0</v>
      </c>
      <c r="I123" s="31">
        <f t="shared" si="23"/>
        <v>-438696.9600000002</v>
      </c>
      <c r="J123" s="31">
        <f t="shared" si="23"/>
        <v>-284849.83799999999</v>
      </c>
      <c r="K123" s="31">
        <f t="shared" si="23"/>
        <v>0</v>
      </c>
      <c r="L123" s="31">
        <f t="shared" si="23"/>
        <v>0</v>
      </c>
    </row>
    <row r="124" spans="2:12" outlineLevel="1" x14ac:dyDescent="0.2">
      <c r="C124" s="9" t="s">
        <v>63</v>
      </c>
      <c r="D124" s="7" t="s">
        <v>12</v>
      </c>
      <c r="E124" s="30"/>
      <c r="F124" s="31">
        <f>+F93+F108</f>
        <v>580000</v>
      </c>
      <c r="G124" s="31">
        <f t="shared" ref="G124:L124" si="24">+G93+G108</f>
        <v>592290</v>
      </c>
      <c r="H124" s="31">
        <f t="shared" si="24"/>
        <v>604848.44999999995</v>
      </c>
      <c r="I124" s="31">
        <f t="shared" si="24"/>
        <v>617681.46974999993</v>
      </c>
      <c r="J124" s="31">
        <f t="shared" si="24"/>
        <v>585333.17576625</v>
      </c>
      <c r="K124" s="31">
        <f t="shared" si="24"/>
        <v>644196.43872549373</v>
      </c>
      <c r="L124" s="31">
        <f t="shared" si="24"/>
        <v>657891.38016369217</v>
      </c>
    </row>
    <row r="125" spans="2:12" outlineLevel="1" x14ac:dyDescent="0.2">
      <c r="C125" s="70" t="s">
        <v>64</v>
      </c>
      <c r="D125" s="71" t="s">
        <v>12</v>
      </c>
      <c r="E125" s="48"/>
      <c r="F125" s="79">
        <f>SUM(F121:F124)</f>
        <v>3295000</v>
      </c>
      <c r="G125" s="79">
        <f t="shared" ref="G125:L125" si="25">SUM(G121:G124)</f>
        <v>3434040</v>
      </c>
      <c r="H125" s="79">
        <f t="shared" si="25"/>
        <v>3573709.95</v>
      </c>
      <c r="I125" s="79">
        <f t="shared" si="25"/>
        <v>3067130.0497500012</v>
      </c>
      <c r="J125" s="79">
        <f t="shared" si="25"/>
        <v>3367062.0425662505</v>
      </c>
      <c r="K125" s="79">
        <f t="shared" si="25"/>
        <v>3938185.735349495</v>
      </c>
      <c r="L125" s="79">
        <f t="shared" si="25"/>
        <v>4050700.3556864131</v>
      </c>
    </row>
    <row r="126" spans="2:12" outlineLevel="1" x14ac:dyDescent="0.2">
      <c r="C126" s="9" t="s">
        <v>75</v>
      </c>
      <c r="D126" s="49" t="s">
        <v>12</v>
      </c>
      <c r="E126" s="30"/>
      <c r="F126" s="30">
        <f t="shared" ref="F126:L126" si="26">-(Rentable_SF-$E$68-$E$81-$E$96)*F$71</f>
        <v>-240000</v>
      </c>
      <c r="G126" s="30">
        <f t="shared" si="26"/>
        <v>-249600.00000000003</v>
      </c>
      <c r="H126" s="30">
        <f t="shared" si="26"/>
        <v>-259584.00000000006</v>
      </c>
      <c r="I126" s="30">
        <f t="shared" si="26"/>
        <v>-269967.3600000001</v>
      </c>
      <c r="J126" s="30">
        <f t="shared" si="26"/>
        <v>-278066.3808000001</v>
      </c>
      <c r="K126" s="30">
        <f t="shared" si="26"/>
        <v>-286408.37222400011</v>
      </c>
      <c r="L126" s="30">
        <f t="shared" si="26"/>
        <v>-295000.62339072011</v>
      </c>
    </row>
    <row r="127" spans="2:12" outlineLevel="1" x14ac:dyDescent="0.2">
      <c r="C127" s="50" t="s">
        <v>26</v>
      </c>
      <c r="D127" s="7" t="s">
        <v>12</v>
      </c>
      <c r="E127" s="48"/>
      <c r="F127" s="32">
        <f>SUM(F125:F126)</f>
        <v>3055000</v>
      </c>
      <c r="G127" s="32">
        <f t="shared" ref="G127:L127" si="27">SUM(G125:G126)</f>
        <v>3184440</v>
      </c>
      <c r="H127" s="32">
        <f t="shared" si="27"/>
        <v>3314125.95</v>
      </c>
      <c r="I127" s="32">
        <f t="shared" si="27"/>
        <v>2797162.6897500008</v>
      </c>
      <c r="J127" s="32">
        <f t="shared" si="27"/>
        <v>3088995.6617662506</v>
      </c>
      <c r="K127" s="32">
        <f t="shared" si="27"/>
        <v>3651777.3631254947</v>
      </c>
      <c r="L127" s="32">
        <f t="shared" si="27"/>
        <v>3755699.7322956929</v>
      </c>
    </row>
    <row r="128" spans="2:12" outlineLevel="1" x14ac:dyDescent="0.2">
      <c r="D128" s="4"/>
      <c r="E128" s="30"/>
      <c r="F128" s="30"/>
      <c r="G128" s="30"/>
      <c r="H128" s="30"/>
      <c r="I128" s="30"/>
      <c r="J128" s="30"/>
      <c r="K128" s="30"/>
      <c r="L128" s="30"/>
    </row>
    <row r="129" spans="3:12" outlineLevel="1" x14ac:dyDescent="0.2">
      <c r="C129" s="2" t="s">
        <v>27</v>
      </c>
      <c r="D129" s="4"/>
      <c r="E129" s="30"/>
      <c r="F129" s="91"/>
      <c r="G129" s="30"/>
      <c r="H129" s="30"/>
      <c r="I129" s="30"/>
      <c r="J129" s="30"/>
      <c r="K129" s="30"/>
      <c r="L129" s="30"/>
    </row>
    <row r="130" spans="3:12" outlineLevel="1" x14ac:dyDescent="0.2">
      <c r="C130" s="9" t="s">
        <v>65</v>
      </c>
      <c r="D130" s="7" t="s">
        <v>12</v>
      </c>
      <c r="E130" s="30"/>
      <c r="F130" s="30">
        <f t="shared" ref="F130:L130" si="28">-F127*Prop_Mgmt_Fees</f>
        <v>-91650.000000000015</v>
      </c>
      <c r="G130" s="30">
        <f t="shared" si="28"/>
        <v>-95533.200000000012</v>
      </c>
      <c r="H130" s="30">
        <f t="shared" si="28"/>
        <v>-99423.778500000029</v>
      </c>
      <c r="I130" s="30">
        <f t="shared" si="28"/>
        <v>-83914.880692500039</v>
      </c>
      <c r="J130" s="30">
        <f t="shared" si="28"/>
        <v>-92669.86985298754</v>
      </c>
      <c r="K130" s="30">
        <f t="shared" si="28"/>
        <v>-109553.32089376486</v>
      </c>
      <c r="L130" s="30">
        <f t="shared" si="28"/>
        <v>-112670.9919688708</v>
      </c>
    </row>
    <row r="131" spans="3:12" outlineLevel="1" x14ac:dyDescent="0.2">
      <c r="C131" s="9" t="s">
        <v>144</v>
      </c>
      <c r="D131" s="7" t="s">
        <v>12</v>
      </c>
      <c r="E131" s="30"/>
      <c r="F131" s="30">
        <f>-CAM_per_SF*Rentable_SF</f>
        <v>-125000</v>
      </c>
      <c r="G131" s="30">
        <f t="shared" ref="G131:L131" si="29">+F131*(1+CAM_Growth)</f>
        <v>-129374.99999999999</v>
      </c>
      <c r="H131" s="30">
        <f t="shared" si="29"/>
        <v>-133903.12499999997</v>
      </c>
      <c r="I131" s="30">
        <f t="shared" si="29"/>
        <v>-138589.73437499997</v>
      </c>
      <c r="J131" s="30">
        <f t="shared" si="29"/>
        <v>-143440.37507812495</v>
      </c>
      <c r="K131" s="30">
        <f t="shared" si="29"/>
        <v>-148460.78820585931</v>
      </c>
      <c r="L131" s="30">
        <f t="shared" si="29"/>
        <v>-153656.91579306437</v>
      </c>
    </row>
    <row r="132" spans="3:12" outlineLevel="1" x14ac:dyDescent="0.2">
      <c r="C132" s="9" t="s">
        <v>145</v>
      </c>
      <c r="D132" s="7" t="s">
        <v>12</v>
      </c>
      <c r="E132" s="30"/>
      <c r="F132" s="30">
        <f>-Utilities_per_SF*Rentable_SF</f>
        <v>-75000</v>
      </c>
      <c r="G132" s="30">
        <f t="shared" ref="G132:L132" si="30">+F132*(1+Utilities_Growth)</f>
        <v>-77250</v>
      </c>
      <c r="H132" s="30">
        <f t="shared" si="30"/>
        <v>-79567.5</v>
      </c>
      <c r="I132" s="30">
        <f t="shared" si="30"/>
        <v>-81954.525000000009</v>
      </c>
      <c r="J132" s="30">
        <f t="shared" si="30"/>
        <v>-84413.16075000001</v>
      </c>
      <c r="K132" s="30">
        <f t="shared" si="30"/>
        <v>-86945.555572500016</v>
      </c>
      <c r="L132" s="30">
        <f t="shared" si="30"/>
        <v>-89553.922239675012</v>
      </c>
    </row>
    <row r="133" spans="3:12" outlineLevel="1" x14ac:dyDescent="0.2">
      <c r="C133" s="9" t="s">
        <v>146</v>
      </c>
      <c r="D133" s="7" t="s">
        <v>12</v>
      </c>
      <c r="E133" s="30"/>
      <c r="F133" s="30">
        <f>-Insurance_per_SF*Rentable_SF</f>
        <v>-50000</v>
      </c>
      <c r="G133" s="30">
        <f t="shared" ref="G133:L133" si="31">+F133*(1+Insurance_Growth)</f>
        <v>-51249.999999999993</v>
      </c>
      <c r="H133" s="30">
        <f t="shared" si="31"/>
        <v>-52531.249999999985</v>
      </c>
      <c r="I133" s="30">
        <f t="shared" si="31"/>
        <v>-53844.531249999978</v>
      </c>
      <c r="J133" s="30">
        <f t="shared" si="31"/>
        <v>-55190.644531249971</v>
      </c>
      <c r="K133" s="30">
        <f t="shared" si="31"/>
        <v>-56570.410644531214</v>
      </c>
      <c r="L133" s="30">
        <f t="shared" si="31"/>
        <v>-57984.670910644491</v>
      </c>
    </row>
    <row r="134" spans="3:12" outlineLevel="1" x14ac:dyDescent="0.2">
      <c r="C134" s="9" t="s">
        <v>61</v>
      </c>
      <c r="D134" s="7" t="s">
        <v>12</v>
      </c>
      <c r="E134" s="30"/>
      <c r="F134" s="30">
        <f>-RE_Taxes_Pct_Property_Value*Entry_Price</f>
        <v>-1000000</v>
      </c>
      <c r="G134" s="30">
        <f t="shared" ref="G134:L134" si="32">+F134*(1+RE_Taxes_Growth_Rate)</f>
        <v>-1020000</v>
      </c>
      <c r="H134" s="30">
        <f t="shared" si="32"/>
        <v>-1040400</v>
      </c>
      <c r="I134" s="30">
        <f t="shared" si="32"/>
        <v>-1061208</v>
      </c>
      <c r="J134" s="30">
        <f t="shared" si="32"/>
        <v>-1082432.1599999999</v>
      </c>
      <c r="K134" s="30">
        <f t="shared" si="32"/>
        <v>-1104080.8032</v>
      </c>
      <c r="L134" s="30">
        <f t="shared" si="32"/>
        <v>-1126162.4192639999</v>
      </c>
    </row>
    <row r="135" spans="3:12" outlineLevel="1" x14ac:dyDescent="0.2">
      <c r="C135" s="9" t="s">
        <v>67</v>
      </c>
      <c r="D135" s="49" t="s">
        <v>12</v>
      </c>
      <c r="E135" s="30"/>
      <c r="F135" s="30">
        <f>-Reserve_per_SF*Rentable_SF</f>
        <v>-62500</v>
      </c>
      <c r="G135" s="30">
        <f t="shared" ref="G135:L135" si="33">+F135*(1+Reserve_Growth_Rate)</f>
        <v>-64375</v>
      </c>
      <c r="H135" s="30">
        <f t="shared" si="33"/>
        <v>-66306.25</v>
      </c>
      <c r="I135" s="30">
        <f t="shared" si="33"/>
        <v>-68295.4375</v>
      </c>
      <c r="J135" s="30">
        <f t="shared" si="33"/>
        <v>-70344.300625000003</v>
      </c>
      <c r="K135" s="30">
        <f t="shared" si="33"/>
        <v>-72454.629643749999</v>
      </c>
      <c r="L135" s="30">
        <f t="shared" si="33"/>
        <v>-74628.268533062495</v>
      </c>
    </row>
    <row r="136" spans="3:12" outlineLevel="1" x14ac:dyDescent="0.2">
      <c r="C136" s="50" t="s">
        <v>28</v>
      </c>
      <c r="D136" s="7" t="s">
        <v>12</v>
      </c>
      <c r="E136" s="48"/>
      <c r="F136" s="32">
        <f>SUM(F130:F135)</f>
        <v>-1404150</v>
      </c>
      <c r="G136" s="32">
        <f>SUM(G130:G135)</f>
        <v>-1437783.2</v>
      </c>
      <c r="H136" s="32">
        <f t="shared" ref="H136:L136" si="34">SUM(H130:H135)</f>
        <v>-1472131.9035</v>
      </c>
      <c r="I136" s="32">
        <f t="shared" si="34"/>
        <v>-1487807.1088175001</v>
      </c>
      <c r="J136" s="32">
        <f t="shared" si="34"/>
        <v>-1528490.5108373624</v>
      </c>
      <c r="K136" s="32">
        <f t="shared" si="34"/>
        <v>-1578065.5081604053</v>
      </c>
      <c r="L136" s="32">
        <f t="shared" si="34"/>
        <v>-1614657.188709317</v>
      </c>
    </row>
    <row r="137" spans="3:12" outlineLevel="1" x14ac:dyDescent="0.2">
      <c r="D137" s="4"/>
      <c r="E137" s="30"/>
      <c r="F137" s="30"/>
      <c r="G137" s="30"/>
      <c r="H137" s="30"/>
      <c r="I137" s="30"/>
      <c r="J137" s="30"/>
      <c r="K137" s="30"/>
      <c r="L137" s="30"/>
    </row>
    <row r="138" spans="3:12" outlineLevel="1" x14ac:dyDescent="0.2">
      <c r="C138" s="2" t="s">
        <v>29</v>
      </c>
      <c r="D138" s="7" t="s">
        <v>12</v>
      </c>
      <c r="E138" s="30"/>
      <c r="F138" s="51">
        <f>+F127+F136</f>
        <v>1650850</v>
      </c>
      <c r="G138" s="51">
        <f t="shared" ref="G138:L138" si="35">+G127+G136</f>
        <v>1746656.8</v>
      </c>
      <c r="H138" s="51">
        <f t="shared" si="35"/>
        <v>1841994.0465000002</v>
      </c>
      <c r="I138" s="51">
        <f t="shared" si="35"/>
        <v>1309355.5809325008</v>
      </c>
      <c r="J138" s="51">
        <f t="shared" si="35"/>
        <v>1560505.1509288882</v>
      </c>
      <c r="K138" s="51">
        <f t="shared" si="35"/>
        <v>2073711.8549650894</v>
      </c>
      <c r="L138" s="51">
        <f t="shared" si="35"/>
        <v>2141042.5435863761</v>
      </c>
    </row>
    <row r="139" spans="3:12" outlineLevel="1" x14ac:dyDescent="0.2">
      <c r="C139" s="52" t="s">
        <v>30</v>
      </c>
      <c r="D139" s="7" t="s">
        <v>6</v>
      </c>
      <c r="E139" s="30"/>
      <c r="F139" s="53">
        <f>+F138/F$127</f>
        <v>0.54037643207855979</v>
      </c>
      <c r="G139" s="53">
        <f t="shared" ref="G139:L139" si="36">+G138/G$127</f>
        <v>0.54849731820979519</v>
      </c>
      <c r="H139" s="53">
        <f t="shared" si="36"/>
        <v>0.55580085799092827</v>
      </c>
      <c r="I139" s="53">
        <f t="shared" si="36"/>
        <v>0.46810133201423682</v>
      </c>
      <c r="J139" s="53">
        <f t="shared" si="36"/>
        <v>0.5051820467875342</v>
      </c>
      <c r="K139" s="53">
        <f t="shared" si="36"/>
        <v>0.56786371368221478</v>
      </c>
      <c r="L139" s="53">
        <f t="shared" si="36"/>
        <v>0.57007820012215182</v>
      </c>
    </row>
    <row r="140" spans="3:12" outlineLevel="1" x14ac:dyDescent="0.2">
      <c r="D140" s="4"/>
      <c r="E140" s="30"/>
      <c r="F140" s="30"/>
      <c r="G140" s="30"/>
      <c r="H140" s="30"/>
      <c r="I140" s="30"/>
      <c r="J140" s="30"/>
      <c r="K140" s="30"/>
      <c r="L140" s="30"/>
    </row>
    <row r="141" spans="3:12" outlineLevel="1" x14ac:dyDescent="0.2">
      <c r="C141" s="9" t="s">
        <v>69</v>
      </c>
      <c r="D141" s="7" t="s">
        <v>12</v>
      </c>
      <c r="E141" s="30"/>
      <c r="F141" s="30">
        <f>+F110</f>
        <v>0</v>
      </c>
      <c r="G141" s="30">
        <f t="shared" ref="G141:L141" si="37">+G110</f>
        <v>0</v>
      </c>
      <c r="H141" s="30">
        <f t="shared" si="37"/>
        <v>0</v>
      </c>
      <c r="I141" s="30">
        <f t="shared" si="37"/>
        <v>-266973.88800000009</v>
      </c>
      <c r="J141" s="30">
        <f t="shared" si="37"/>
        <v>-175933.76640000002</v>
      </c>
      <c r="K141" s="30">
        <f t="shared" si="37"/>
        <v>0</v>
      </c>
      <c r="L141" s="30">
        <f t="shared" si="37"/>
        <v>0</v>
      </c>
    </row>
    <row r="142" spans="3:12" outlineLevel="1" x14ac:dyDescent="0.2">
      <c r="C142" s="9" t="s">
        <v>68</v>
      </c>
      <c r="D142" s="7" t="s">
        <v>12</v>
      </c>
      <c r="E142" s="30"/>
      <c r="F142" s="30">
        <f>MIN(-F141,E111-F135)</f>
        <v>0</v>
      </c>
      <c r="G142" s="30">
        <f t="shared" ref="G142:L142" si="38">MIN(-G141,F111-G135)</f>
        <v>0</v>
      </c>
      <c r="H142" s="30">
        <f t="shared" si="38"/>
        <v>0</v>
      </c>
      <c r="I142" s="30">
        <f t="shared" si="38"/>
        <v>266973.88800000009</v>
      </c>
      <c r="J142" s="30">
        <f t="shared" si="38"/>
        <v>127347.10012499991</v>
      </c>
      <c r="K142" s="30">
        <f t="shared" si="38"/>
        <v>0</v>
      </c>
      <c r="L142" s="30">
        <f t="shared" si="38"/>
        <v>0</v>
      </c>
    </row>
    <row r="143" spans="3:12" outlineLevel="1" x14ac:dyDescent="0.2"/>
    <row r="144" spans="3:12" outlineLevel="1" x14ac:dyDescent="0.2">
      <c r="C144" s="2" t="s">
        <v>31</v>
      </c>
      <c r="D144" s="7" t="s">
        <v>12</v>
      </c>
      <c r="E144" s="30"/>
      <c r="F144" s="51">
        <f>+F138+SUM(F141:F142)</f>
        <v>1650850</v>
      </c>
      <c r="G144" s="51">
        <f t="shared" ref="G144:L144" si="39">+G138+SUM(G141:G142)</f>
        <v>1746656.8</v>
      </c>
      <c r="H144" s="51">
        <f t="shared" si="39"/>
        <v>1841994.0465000002</v>
      </c>
      <c r="I144" s="51">
        <f t="shared" si="39"/>
        <v>1309355.5809325008</v>
      </c>
      <c r="J144" s="51">
        <f t="shared" si="39"/>
        <v>1511918.484653888</v>
      </c>
      <c r="K144" s="51">
        <f t="shared" si="39"/>
        <v>2073711.8549650894</v>
      </c>
      <c r="L144" s="51">
        <f t="shared" si="39"/>
        <v>2141042.5435863761</v>
      </c>
    </row>
    <row r="145" spans="3:12" outlineLevel="1" x14ac:dyDescent="0.2">
      <c r="C145" s="54" t="s">
        <v>44</v>
      </c>
      <c r="D145" s="7" t="s">
        <v>6</v>
      </c>
      <c r="E145" s="30"/>
      <c r="F145" s="53">
        <f>+F144/F$127</f>
        <v>0.54037643207855979</v>
      </c>
      <c r="G145" s="53">
        <f t="shared" ref="G145:L145" si="40">+G144/G$127</f>
        <v>0.54849731820979519</v>
      </c>
      <c r="H145" s="53">
        <f t="shared" si="40"/>
        <v>0.55580085799092827</v>
      </c>
      <c r="I145" s="53">
        <f t="shared" si="40"/>
        <v>0.46810133201423682</v>
      </c>
      <c r="J145" s="53">
        <f t="shared" si="40"/>
        <v>0.48945309421036581</v>
      </c>
      <c r="K145" s="53">
        <f t="shared" si="40"/>
        <v>0.56786371368221478</v>
      </c>
      <c r="L145" s="53">
        <f t="shared" si="40"/>
        <v>0.57007820012215182</v>
      </c>
    </row>
    <row r="146" spans="3:12" outlineLevel="1" x14ac:dyDescent="0.2">
      <c r="D146" s="4"/>
      <c r="E146" s="30"/>
      <c r="F146" s="30"/>
      <c r="G146" s="30"/>
      <c r="H146" s="30"/>
      <c r="I146" s="30"/>
      <c r="J146" s="30"/>
      <c r="K146" s="30"/>
    </row>
    <row r="147" spans="3:12" outlineLevel="1" x14ac:dyDescent="0.2">
      <c r="C147" s="9" t="s">
        <v>125</v>
      </c>
      <c r="D147" s="7" t="s">
        <v>12</v>
      </c>
      <c r="E147" s="30"/>
      <c r="F147" s="30"/>
      <c r="G147" s="30">
        <f>IPMT(Senior_Loan_Interest_Rate,G113-$F113,Senior_Loan_Amort_Period,Senior_Loan)</f>
        <v>-625000</v>
      </c>
      <c r="H147" s="30">
        <f>IPMT(Senior_Loan_Interest_Rate,H113-$F113,Senior_Loan_Amort_Period,Senior_Loan)</f>
        <v>-611904.71418798144</v>
      </c>
      <c r="I147" s="30">
        <f>IPMT(Senior_Loan_Interest_Rate,I113-$F113,Senior_Loan_Amort_Period,Senior_Loan)</f>
        <v>-598154.66408536211</v>
      </c>
      <c r="J147" s="30">
        <f>IPMT(Senior_Loan_Interest_Rate,J113-$F113,Senior_Loan_Amort_Period,Senior_Loan)</f>
        <v>-583717.11147761182</v>
      </c>
      <c r="K147" s="30">
        <f>IPMT(Senior_Loan_Interest_Rate,K113-$F113,Senior_Loan_Amort_Period,Senior_Loan)</f>
        <v>-568557.68123947375</v>
      </c>
      <c r="L147" s="30"/>
    </row>
    <row r="148" spans="3:12" outlineLevel="1" x14ac:dyDescent="0.2">
      <c r="C148" s="9" t="s">
        <v>126</v>
      </c>
      <c r="D148" s="7"/>
      <c r="E148" s="30"/>
      <c r="F148" s="30"/>
      <c r="G148" s="30">
        <f>-F156*Mezzanine_Cash_Interest</f>
        <v>-175000.00000000003</v>
      </c>
      <c r="H148" s="30">
        <f>-G156*Mezzanine_Cash_Interest</f>
        <v>-180250.00000000003</v>
      </c>
      <c r="I148" s="30">
        <f>-H156*Mezzanine_Cash_Interest</f>
        <v>-185657.50000000003</v>
      </c>
      <c r="J148" s="30">
        <f>-I156*Mezzanine_Cash_Interest</f>
        <v>-191227.22500000001</v>
      </c>
      <c r="K148" s="30">
        <f>-J156*Mezzanine_Cash_Interest</f>
        <v>-196964.04175</v>
      </c>
      <c r="L148" s="30"/>
    </row>
    <row r="149" spans="3:12" outlineLevel="1" x14ac:dyDescent="0.2">
      <c r="C149" s="9" t="s">
        <v>127</v>
      </c>
      <c r="D149" s="7" t="s">
        <v>12</v>
      </c>
      <c r="E149" s="30"/>
      <c r="F149" s="30"/>
      <c r="G149" s="30">
        <f>PPMT(Senior_Loan_Interest_Rate,G113-$F113,Senior_Loan_Amort_Period,Senior_Loan)</f>
        <v>-261905.71624037024</v>
      </c>
      <c r="H149" s="30">
        <f>PPMT(Senior_Loan_Interest_Rate,H113-$F113,Senior_Loan_Amort_Period,Senior_Loan)</f>
        <v>-275001.00205238879</v>
      </c>
      <c r="I149" s="30">
        <f>PPMT(Senior_Loan_Interest_Rate,I113-$F113,Senior_Loan_Amort_Period,Senior_Loan)</f>
        <v>-288751.05215500825</v>
      </c>
      <c r="J149" s="30">
        <f>PPMT(Senior_Loan_Interest_Rate,J113-$F113,Senior_Loan_Amort_Period,Senior_Loan)</f>
        <v>-303188.60476275859</v>
      </c>
      <c r="K149" s="30">
        <f>PPMT(Senior_Loan_Interest_Rate,K113-$F113,Senior_Loan_Amort_Period,Senior_Loan)</f>
        <v>-318348.03500089655</v>
      </c>
      <c r="L149" s="30"/>
    </row>
    <row r="150" spans="3:12" outlineLevel="1" x14ac:dyDescent="0.2">
      <c r="G150" s="30"/>
      <c r="H150" s="30"/>
      <c r="I150" s="30"/>
      <c r="J150" s="30"/>
      <c r="K150" s="30"/>
      <c r="L150" s="30"/>
    </row>
    <row r="151" spans="3:12" outlineLevel="1" x14ac:dyDescent="0.2">
      <c r="C151" s="55" t="s">
        <v>32</v>
      </c>
      <c r="D151" s="7" t="s">
        <v>12</v>
      </c>
      <c r="F151" s="30"/>
      <c r="G151" s="56">
        <f>+G144+SUM(G147:G149)</f>
        <v>684751.08375962987</v>
      </c>
      <c r="H151" s="56">
        <f t="shared" ref="H151:K151" si="41">+H144+SUM(H147:H149)</f>
        <v>774838.33025962999</v>
      </c>
      <c r="I151" s="56">
        <f t="shared" si="41"/>
        <v>236792.36469213036</v>
      </c>
      <c r="J151" s="56">
        <f t="shared" si="41"/>
        <v>433785.54341351776</v>
      </c>
      <c r="K151" s="56">
        <f t="shared" si="41"/>
        <v>989842.09697471908</v>
      </c>
      <c r="L151" s="56"/>
    </row>
    <row r="152" spans="3:12" outlineLevel="1" x14ac:dyDescent="0.2"/>
    <row r="153" spans="3:12" outlineLevel="1" x14ac:dyDescent="0.2">
      <c r="C153" s="3" t="s">
        <v>130</v>
      </c>
      <c r="D153" s="7" t="s">
        <v>12</v>
      </c>
      <c r="G153" s="30">
        <f>-F156*Mezzanine_PIK_Interest</f>
        <v>-75000</v>
      </c>
      <c r="H153" s="30">
        <f>-G156*Mezzanine_PIK_Interest</f>
        <v>-77250</v>
      </c>
      <c r="I153" s="30">
        <f>-H156*Mezzanine_PIK_Interest</f>
        <v>-79567.5</v>
      </c>
      <c r="J153" s="30">
        <f>-I156*Mezzanine_PIK_Interest</f>
        <v>-81954.524999999994</v>
      </c>
      <c r="K153" s="30">
        <f>-J156*Mezzanine_PIK_Interest</f>
        <v>-84413.160749999995</v>
      </c>
      <c r="L153" s="30"/>
    </row>
    <row r="154" spans="3:12" outlineLevel="1" x14ac:dyDescent="0.2"/>
    <row r="155" spans="3:12" outlineLevel="1" x14ac:dyDescent="0.2">
      <c r="C155" s="92" t="s">
        <v>132</v>
      </c>
      <c r="D155" s="7" t="s">
        <v>12</v>
      </c>
      <c r="F155" s="30">
        <f>Senior_Loan</f>
        <v>12500000</v>
      </c>
      <c r="G155" s="30">
        <f>+F155+G149</f>
        <v>12238094.283759629</v>
      </c>
      <c r="H155" s="30">
        <f t="shared" ref="H155:K155" si="42">+G155+H149</f>
        <v>11963093.28170724</v>
      </c>
      <c r="I155" s="30">
        <f t="shared" si="42"/>
        <v>11674342.229552232</v>
      </c>
      <c r="J155" s="30">
        <f t="shared" si="42"/>
        <v>11371153.624789473</v>
      </c>
      <c r="K155" s="30">
        <f t="shared" si="42"/>
        <v>11052805.589788577</v>
      </c>
      <c r="L155" s="30"/>
    </row>
    <row r="156" spans="3:12" outlineLevel="1" x14ac:dyDescent="0.2">
      <c r="C156" s="9" t="s">
        <v>133</v>
      </c>
      <c r="D156" s="49" t="s">
        <v>12</v>
      </c>
      <c r="F156" s="30">
        <f>Mezzanine</f>
        <v>2500000</v>
      </c>
      <c r="G156" s="30">
        <f>+F156-G153</f>
        <v>2575000</v>
      </c>
      <c r="H156" s="30">
        <f t="shared" ref="H156:K156" si="43">+G156-H153</f>
        <v>2652250</v>
      </c>
      <c r="I156" s="30">
        <f t="shared" si="43"/>
        <v>2731817.5</v>
      </c>
      <c r="J156" s="30">
        <f t="shared" si="43"/>
        <v>2813772.0249999999</v>
      </c>
      <c r="K156" s="30">
        <f t="shared" si="43"/>
        <v>2898185.1857499997</v>
      </c>
      <c r="L156" s="30"/>
    </row>
    <row r="157" spans="3:12" outlineLevel="1" x14ac:dyDescent="0.2">
      <c r="C157" s="61" t="s">
        <v>131</v>
      </c>
      <c r="D157" s="7" t="s">
        <v>12</v>
      </c>
      <c r="E157" s="62"/>
      <c r="F157" s="63">
        <f>SUM(F155:F156)</f>
        <v>15000000</v>
      </c>
      <c r="G157" s="63">
        <f>SUM(G155:G156)</f>
        <v>14813094.283759629</v>
      </c>
      <c r="H157" s="63">
        <f t="shared" ref="H157:K157" si="44">SUM(H155:H156)</f>
        <v>14615343.28170724</v>
      </c>
      <c r="I157" s="63">
        <f t="shared" si="44"/>
        <v>14406159.729552232</v>
      </c>
      <c r="J157" s="63">
        <f t="shared" si="44"/>
        <v>14184925.649789473</v>
      </c>
      <c r="K157" s="63">
        <f t="shared" si="44"/>
        <v>13950990.775538577</v>
      </c>
      <c r="L157" s="93"/>
    </row>
    <row r="158" spans="3:12" outlineLevel="1" x14ac:dyDescent="0.2">
      <c r="D158" s="4"/>
    </row>
    <row r="159" spans="3:12" outlineLevel="1" x14ac:dyDescent="0.2">
      <c r="C159" s="57" t="s">
        <v>74</v>
      </c>
      <c r="D159" s="7" t="s">
        <v>6</v>
      </c>
      <c r="G159" s="77">
        <f>+G138/(Senior_Loan+Mezzanine)</f>
        <v>0.11644378666666667</v>
      </c>
      <c r="H159" s="77">
        <f>+H138/(Senior_Loan+Mezzanine)</f>
        <v>0.12279960310000002</v>
      </c>
      <c r="I159" s="77">
        <f>+I138/(Senior_Loan+Mezzanine)</f>
        <v>8.7290372062166721E-2</v>
      </c>
      <c r="J159" s="77">
        <f>+J138/(Senior_Loan+Mezzanine)</f>
        <v>0.10403367672859255</v>
      </c>
      <c r="K159" s="77">
        <f>+K138/(Senior_Loan+Mezzanine)</f>
        <v>0.13824745699767263</v>
      </c>
      <c r="L159" s="77"/>
    </row>
    <row r="160" spans="3:12" outlineLevel="1" x14ac:dyDescent="0.2">
      <c r="D160" s="4"/>
    </row>
    <row r="161" spans="2:13" outlineLevel="1" x14ac:dyDescent="0.2">
      <c r="C161" s="57" t="s">
        <v>47</v>
      </c>
      <c r="D161" s="7" t="s">
        <v>33</v>
      </c>
      <c r="G161" s="58">
        <f>+G138/-SUM(G147:G148,G153)</f>
        <v>1.9961792</v>
      </c>
      <c r="H161" s="58">
        <f t="shared" ref="H161:K161" si="45">+H138/-SUM(H147:H148,H153)</f>
        <v>2.1186842174192844</v>
      </c>
      <c r="I161" s="58">
        <f t="shared" si="45"/>
        <v>1.5165467005985043</v>
      </c>
      <c r="J161" s="58">
        <f t="shared" si="45"/>
        <v>1.8211077422112545</v>
      </c>
      <c r="K161" s="58">
        <f t="shared" si="45"/>
        <v>2.4398479161619324</v>
      </c>
      <c r="L161" s="58"/>
    </row>
    <row r="162" spans="2:13" outlineLevel="1" x14ac:dyDescent="0.2">
      <c r="C162" s="57" t="s">
        <v>48</v>
      </c>
      <c r="D162" s="7" t="s">
        <v>33</v>
      </c>
      <c r="G162" s="58">
        <f>+G144/-SUM(G147:G148,G153)</f>
        <v>1.9961792</v>
      </c>
      <c r="H162" s="58">
        <f t="shared" ref="H162:K162" si="46">+H144/-SUM(H147:H148,H153)</f>
        <v>2.1186842174192844</v>
      </c>
      <c r="I162" s="58">
        <f t="shared" si="46"/>
        <v>1.5165467005985043</v>
      </c>
      <c r="J162" s="58">
        <f t="shared" si="46"/>
        <v>1.7644071577441229</v>
      </c>
      <c r="K162" s="58">
        <f t="shared" si="46"/>
        <v>2.4398479161619324</v>
      </c>
      <c r="L162" s="58"/>
    </row>
    <row r="163" spans="2:13" outlineLevel="1" x14ac:dyDescent="0.2">
      <c r="D163" s="4"/>
    </row>
    <row r="164" spans="2:13" outlineLevel="1" x14ac:dyDescent="0.2">
      <c r="C164" s="57" t="s">
        <v>46</v>
      </c>
      <c r="D164" s="7" t="s">
        <v>33</v>
      </c>
      <c r="G164" s="58">
        <f>+G138/-SUM(G147:G149,G153)</f>
        <v>1.5363251103847149</v>
      </c>
      <c r="H164" s="58">
        <f t="shared" ref="H164:K164" si="47">+H138/-SUM(H147:H149,H153)</f>
        <v>1.6095638289464023</v>
      </c>
      <c r="I164" s="58">
        <f t="shared" si="47"/>
        <v>1.1364644327903921</v>
      </c>
      <c r="J164" s="58">
        <f t="shared" si="47"/>
        <v>1.3451616333604552</v>
      </c>
      <c r="K164" s="58">
        <f t="shared" si="47"/>
        <v>1.7750082807004852</v>
      </c>
      <c r="L164" s="58"/>
    </row>
    <row r="165" spans="2:13" outlineLevel="1" x14ac:dyDescent="0.2">
      <c r="C165" s="57" t="s">
        <v>49</v>
      </c>
      <c r="D165" s="7" t="s">
        <v>33</v>
      </c>
      <c r="G165" s="58">
        <f>+G144/-SUM(G147:G149,G153)</f>
        <v>1.5363251103847149</v>
      </c>
      <c r="H165" s="58">
        <f t="shared" ref="H165:K165" si="48">+H144/-SUM(H147:H149,H153)</f>
        <v>1.6095638289464023</v>
      </c>
      <c r="I165" s="58">
        <f t="shared" si="48"/>
        <v>1.1364644327903921</v>
      </c>
      <c r="J165" s="58">
        <f t="shared" si="48"/>
        <v>1.3032797342029194</v>
      </c>
      <c r="K165" s="58">
        <f t="shared" si="48"/>
        <v>1.7750082807004852</v>
      </c>
      <c r="L165" s="58"/>
    </row>
    <row r="166" spans="2:13" x14ac:dyDescent="0.2">
      <c r="D166" s="4"/>
    </row>
    <row r="167" spans="2:13" x14ac:dyDescent="0.2">
      <c r="B167" s="34"/>
      <c r="C167" s="34"/>
      <c r="D167" s="35"/>
      <c r="E167" s="34"/>
      <c r="F167" s="36" t="str">
        <f>+$F$54</f>
        <v>Historical:</v>
      </c>
      <c r="G167" s="37" t="str">
        <f>+$G$54</f>
        <v>Projected:</v>
      </c>
      <c r="H167" s="38"/>
      <c r="I167" s="38"/>
      <c r="J167" s="38"/>
      <c r="K167" s="38"/>
    </row>
    <row r="168" spans="2:13" x14ac:dyDescent="0.2">
      <c r="B168" s="5" t="s">
        <v>38</v>
      </c>
      <c r="C168" s="5"/>
      <c r="D168" s="6" t="str">
        <f>+$D$5</f>
        <v>Units:</v>
      </c>
      <c r="E168" s="5"/>
      <c r="F168" s="47">
        <f>+$F$55</f>
        <v>46387</v>
      </c>
      <c r="G168" s="41">
        <f>+$G$55</f>
        <v>46752</v>
      </c>
      <c r="H168" s="40">
        <f>+$H$55</f>
        <v>47118</v>
      </c>
      <c r="I168" s="40">
        <f>+$I$55</f>
        <v>47483</v>
      </c>
      <c r="J168" s="40">
        <f>+$J$55</f>
        <v>47848</v>
      </c>
      <c r="K168" s="40">
        <f>+$K$55</f>
        <v>48213</v>
      </c>
    </row>
    <row r="169" spans="2:13" outlineLevel="1" x14ac:dyDescent="0.2">
      <c r="D169" s="4"/>
      <c r="F169" s="48"/>
      <c r="G169" s="48"/>
      <c r="H169" s="30"/>
      <c r="I169" s="30"/>
      <c r="J169" s="30"/>
      <c r="K169" s="30"/>
      <c r="M169" s="99"/>
    </row>
    <row r="170" spans="2:13" outlineLevel="1" x14ac:dyDescent="0.2">
      <c r="C170" s="55" t="s">
        <v>50</v>
      </c>
      <c r="D170" s="4"/>
      <c r="F170" s="30"/>
      <c r="G170" s="30"/>
      <c r="H170" s="30"/>
      <c r="I170" s="30"/>
      <c r="J170" s="30"/>
      <c r="K170" s="30"/>
    </row>
    <row r="171" spans="2:13" outlineLevel="1" x14ac:dyDescent="0.2">
      <c r="C171" s="9" t="s">
        <v>86</v>
      </c>
      <c r="D171" s="7" t="s">
        <v>12</v>
      </c>
      <c r="F171" s="30"/>
      <c r="G171" s="75">
        <v>0</v>
      </c>
      <c r="H171" s="75">
        <v>0</v>
      </c>
      <c r="I171" s="75">
        <v>0</v>
      </c>
      <c r="J171" s="75">
        <v>0</v>
      </c>
      <c r="K171" s="30">
        <f>+Exit_Price</f>
        <v>35684042.393106267</v>
      </c>
    </row>
    <row r="172" spans="2:13" outlineLevel="1" x14ac:dyDescent="0.2">
      <c r="C172" s="9" t="s">
        <v>87</v>
      </c>
      <c r="D172" s="7" t="s">
        <v>12</v>
      </c>
      <c r="E172" s="30"/>
      <c r="F172" s="75"/>
      <c r="G172" s="75">
        <v>0</v>
      </c>
      <c r="H172" s="75">
        <v>0</v>
      </c>
      <c r="I172" s="75">
        <v>0</v>
      </c>
      <c r="J172" s="75">
        <v>0</v>
      </c>
      <c r="K172" s="30">
        <f>-Exit_Price*Exit_Fee_Pct</f>
        <v>-535260.63589659403</v>
      </c>
      <c r="L172" s="30"/>
    </row>
    <row r="173" spans="2:13" outlineLevel="1" x14ac:dyDescent="0.2">
      <c r="C173" s="9" t="s">
        <v>70</v>
      </c>
      <c r="D173" s="7" t="s">
        <v>12</v>
      </c>
      <c r="F173" s="30"/>
      <c r="G173" s="30">
        <f>+G144</f>
        <v>1746656.8</v>
      </c>
      <c r="H173" s="30">
        <f t="shared" ref="H173:K173" si="49">+H144</f>
        <v>1841994.0465000002</v>
      </c>
      <c r="I173" s="30">
        <f t="shared" si="49"/>
        <v>1309355.5809325008</v>
      </c>
      <c r="J173" s="30">
        <f t="shared" si="49"/>
        <v>1511918.484653888</v>
      </c>
      <c r="K173" s="30">
        <f t="shared" si="49"/>
        <v>2073711.8549650894</v>
      </c>
    </row>
    <row r="174" spans="2:13" outlineLevel="1" x14ac:dyDescent="0.2">
      <c r="C174" s="9" t="s">
        <v>88</v>
      </c>
      <c r="D174" s="49" t="s">
        <v>12</v>
      </c>
      <c r="F174" s="30">
        <f>-Entry_Price*(1+Entry_Fee_Pct)-K51</f>
        <v>-25312500</v>
      </c>
      <c r="G174" s="59">
        <v>0</v>
      </c>
      <c r="H174" s="60">
        <v>0</v>
      </c>
      <c r="I174" s="60">
        <v>0</v>
      </c>
      <c r="J174" s="60">
        <v>0</v>
      </c>
      <c r="K174" s="60">
        <v>0</v>
      </c>
    </row>
    <row r="175" spans="2:13" outlineLevel="1" x14ac:dyDescent="0.2">
      <c r="C175" s="61" t="s">
        <v>53</v>
      </c>
      <c r="D175" s="7" t="s">
        <v>12</v>
      </c>
      <c r="E175" s="62"/>
      <c r="F175" s="63">
        <f>SUM(F171:F174)</f>
        <v>-25312500</v>
      </c>
      <c r="G175" s="63">
        <f t="shared" ref="G175:K175" si="50">SUM(G171:G174)</f>
        <v>1746656.8</v>
      </c>
      <c r="H175" s="63">
        <f t="shared" si="50"/>
        <v>1841994.0465000002</v>
      </c>
      <c r="I175" s="63">
        <f t="shared" si="50"/>
        <v>1309355.5809325008</v>
      </c>
      <c r="J175" s="63">
        <f t="shared" si="50"/>
        <v>1511918.484653888</v>
      </c>
      <c r="K175" s="63">
        <f t="shared" si="50"/>
        <v>37222493.612174764</v>
      </c>
    </row>
    <row r="176" spans="2:13" outlineLevel="1" x14ac:dyDescent="0.2">
      <c r="D176" s="4"/>
      <c r="F176" s="30"/>
      <c r="G176" s="30"/>
      <c r="H176" s="30"/>
      <c r="I176" s="30"/>
      <c r="J176" s="30"/>
      <c r="K176" s="30"/>
    </row>
    <row r="177" spans="3:11" outlineLevel="1" x14ac:dyDescent="0.2">
      <c r="C177" s="64" t="s">
        <v>51</v>
      </c>
      <c r="D177" s="65" t="s">
        <v>6</v>
      </c>
      <c r="E177" s="66"/>
      <c r="F177" s="97">
        <f>IRR(F175:K175)</f>
        <v>0.12712629459579383</v>
      </c>
      <c r="G177" s="30"/>
      <c r="H177" s="30"/>
      <c r="I177" s="30"/>
      <c r="J177" s="30"/>
      <c r="K177" s="30"/>
    </row>
    <row r="178" spans="3:11" outlineLevel="1" x14ac:dyDescent="0.2">
      <c r="D178" s="4"/>
      <c r="F178" s="67"/>
      <c r="G178" s="30"/>
      <c r="H178" s="30"/>
      <c r="I178" s="30"/>
      <c r="J178" s="30"/>
      <c r="K178" s="30"/>
    </row>
    <row r="179" spans="3:11" outlineLevel="1" x14ac:dyDescent="0.2">
      <c r="C179" s="9" t="s">
        <v>56</v>
      </c>
      <c r="D179" s="7" t="s">
        <v>12</v>
      </c>
      <c r="F179" s="30">
        <f>SUM(F171:K173)</f>
        <v>43632418.524261147</v>
      </c>
      <c r="G179" s="30"/>
      <c r="H179" s="30"/>
      <c r="I179" s="30"/>
      <c r="J179" s="30"/>
      <c r="K179" s="30"/>
    </row>
    <row r="180" spans="3:11" outlineLevel="1" x14ac:dyDescent="0.2">
      <c r="C180" s="9" t="s">
        <v>59</v>
      </c>
      <c r="D180" s="7" t="s">
        <v>12</v>
      </c>
      <c r="F180" s="30">
        <f>-SUM(F174:K174)</f>
        <v>25312500</v>
      </c>
      <c r="G180" s="30"/>
      <c r="H180" s="30"/>
      <c r="I180" s="30"/>
      <c r="J180" s="30"/>
      <c r="K180" s="30"/>
    </row>
    <row r="181" spans="3:11" outlineLevel="1" x14ac:dyDescent="0.2">
      <c r="C181" s="9" t="s">
        <v>40</v>
      </c>
      <c r="D181" s="7" t="s">
        <v>33</v>
      </c>
      <c r="F181" s="98">
        <f>+F179/F180</f>
        <v>1.7237498676251317</v>
      </c>
      <c r="G181" s="30"/>
      <c r="H181" s="30"/>
      <c r="I181" s="30"/>
      <c r="J181" s="30"/>
      <c r="K181" s="30"/>
    </row>
    <row r="182" spans="3:11" outlineLevel="1" x14ac:dyDescent="0.2">
      <c r="D182" s="4"/>
      <c r="F182" s="30"/>
      <c r="G182" s="30"/>
      <c r="H182" s="30"/>
      <c r="I182" s="30"/>
      <c r="J182" s="30"/>
      <c r="K182" s="30"/>
    </row>
    <row r="183" spans="3:11" outlineLevel="1" x14ac:dyDescent="0.2">
      <c r="C183" s="2" t="s">
        <v>54</v>
      </c>
      <c r="D183" s="4"/>
      <c r="E183" s="30"/>
      <c r="F183" s="30"/>
      <c r="G183" s="30"/>
      <c r="H183" s="30"/>
      <c r="I183" s="30"/>
      <c r="J183" s="30"/>
      <c r="K183" s="30"/>
    </row>
    <row r="184" spans="3:11" outlineLevel="1" x14ac:dyDescent="0.2">
      <c r="C184" s="9" t="s">
        <v>86</v>
      </c>
      <c r="D184" s="7" t="s">
        <v>12</v>
      </c>
      <c r="E184" s="30"/>
      <c r="F184" s="31"/>
      <c r="G184" s="78">
        <f>+G171</f>
        <v>0</v>
      </c>
      <c r="H184" s="78">
        <f t="shared" ref="H184:K184" si="51">+H171</f>
        <v>0</v>
      </c>
      <c r="I184" s="78">
        <f t="shared" si="51"/>
        <v>0</v>
      </c>
      <c r="J184" s="78">
        <f t="shared" si="51"/>
        <v>0</v>
      </c>
      <c r="K184" s="78">
        <f t="shared" si="51"/>
        <v>35684042.393106267</v>
      </c>
    </row>
    <row r="185" spans="3:11" outlineLevel="1" x14ac:dyDescent="0.2">
      <c r="C185" s="9" t="s">
        <v>87</v>
      </c>
      <c r="D185" s="7" t="s">
        <v>12</v>
      </c>
      <c r="E185" s="30"/>
      <c r="F185" s="78"/>
      <c r="G185" s="78">
        <f t="shared" ref="G185:K185" si="52">+G172</f>
        <v>0</v>
      </c>
      <c r="H185" s="78">
        <f t="shared" si="52"/>
        <v>0</v>
      </c>
      <c r="I185" s="78">
        <f t="shared" si="52"/>
        <v>0</v>
      </c>
      <c r="J185" s="78">
        <f t="shared" si="52"/>
        <v>0</v>
      </c>
      <c r="K185" s="78">
        <f t="shared" si="52"/>
        <v>-535260.63589659403</v>
      </c>
    </row>
    <row r="186" spans="3:11" outlineLevel="1" x14ac:dyDescent="0.2">
      <c r="C186" s="9" t="s">
        <v>71</v>
      </c>
      <c r="D186" s="7" t="s">
        <v>12</v>
      </c>
      <c r="E186" s="30"/>
      <c r="F186" s="31"/>
      <c r="G186" s="31">
        <f>+G151</f>
        <v>684751.08375962987</v>
      </c>
      <c r="H186" s="31">
        <f t="shared" ref="H186:K186" si="53">+H151</f>
        <v>774838.33025962999</v>
      </c>
      <c r="I186" s="31">
        <f t="shared" si="53"/>
        <v>236792.36469213036</v>
      </c>
      <c r="J186" s="31">
        <f t="shared" si="53"/>
        <v>433785.54341351776</v>
      </c>
      <c r="K186" s="31">
        <f t="shared" si="53"/>
        <v>989842.09697471908</v>
      </c>
    </row>
    <row r="187" spans="3:11" outlineLevel="1" x14ac:dyDescent="0.2">
      <c r="C187" s="9" t="s">
        <v>73</v>
      </c>
      <c r="D187" s="7" t="s">
        <v>12</v>
      </c>
      <c r="E187" s="30"/>
      <c r="F187" s="31"/>
      <c r="G187" s="76">
        <v>0</v>
      </c>
      <c r="H187" s="76">
        <v>0</v>
      </c>
      <c r="I187" s="76">
        <v>0</v>
      </c>
      <c r="J187" s="76">
        <v>0</v>
      </c>
      <c r="K187" s="31">
        <f>-K157</f>
        <v>-13950990.775538577</v>
      </c>
    </row>
    <row r="188" spans="3:11" outlineLevel="1" x14ac:dyDescent="0.2">
      <c r="C188" s="9" t="s">
        <v>72</v>
      </c>
      <c r="D188" s="49" t="s">
        <v>12</v>
      </c>
      <c r="E188" s="30"/>
      <c r="F188" s="30">
        <f>-(OP_Equity+LP_Equity)</f>
        <v>-10537500</v>
      </c>
      <c r="G188" s="59">
        <v>0</v>
      </c>
      <c r="H188" s="59">
        <v>0</v>
      </c>
      <c r="I188" s="59">
        <v>0</v>
      </c>
      <c r="J188" s="59">
        <v>0</v>
      </c>
      <c r="K188" s="59">
        <v>0</v>
      </c>
    </row>
    <row r="189" spans="3:11" outlineLevel="1" x14ac:dyDescent="0.2">
      <c r="C189" s="50" t="s">
        <v>55</v>
      </c>
      <c r="D189" s="7" t="s">
        <v>12</v>
      </c>
      <c r="E189" s="48"/>
      <c r="F189" s="63">
        <f>SUM(F184:F188)</f>
        <v>-10537500</v>
      </c>
      <c r="G189" s="63">
        <f t="shared" ref="G189:K189" si="54">SUM(G184:G188)</f>
        <v>684751.08375962987</v>
      </c>
      <c r="H189" s="63">
        <f t="shared" si="54"/>
        <v>774838.33025962999</v>
      </c>
      <c r="I189" s="63">
        <f t="shared" si="54"/>
        <v>236792.36469213036</v>
      </c>
      <c r="J189" s="63">
        <f t="shared" si="54"/>
        <v>433785.54341351776</v>
      </c>
      <c r="K189" s="63">
        <f t="shared" si="54"/>
        <v>22187633.07864581</v>
      </c>
    </row>
    <row r="190" spans="3:11" outlineLevel="1" x14ac:dyDescent="0.2">
      <c r="D190" s="4"/>
      <c r="F190" s="29"/>
      <c r="G190" s="30"/>
      <c r="H190" s="30"/>
      <c r="I190" s="30"/>
      <c r="J190" s="30"/>
      <c r="K190" s="30"/>
    </row>
    <row r="191" spans="3:11" outlineLevel="1" x14ac:dyDescent="0.2">
      <c r="C191" s="64" t="s">
        <v>52</v>
      </c>
      <c r="D191" s="65" t="s">
        <v>6</v>
      </c>
      <c r="E191" s="66"/>
      <c r="F191" s="97">
        <f>IRR(F189:K189)</f>
        <v>0.19585041486224064</v>
      </c>
      <c r="G191" s="30"/>
      <c r="H191" s="30"/>
      <c r="I191" s="30"/>
      <c r="J191" s="30"/>
      <c r="K191" s="30"/>
    </row>
    <row r="192" spans="3:11" outlineLevel="1" x14ac:dyDescent="0.2">
      <c r="D192" s="4"/>
    </row>
    <row r="193" spans="3:13" outlineLevel="1" x14ac:dyDescent="0.2">
      <c r="C193" s="9" t="s">
        <v>57</v>
      </c>
      <c r="D193" s="7" t="s">
        <v>12</v>
      </c>
      <c r="F193" s="30">
        <f>SUM(F184:K187)</f>
        <v>24317800.400770716</v>
      </c>
    </row>
    <row r="194" spans="3:13" outlineLevel="1" x14ac:dyDescent="0.2">
      <c r="C194" s="9" t="s">
        <v>39</v>
      </c>
      <c r="D194" s="7" t="s">
        <v>12</v>
      </c>
      <c r="F194" s="30">
        <f>-SUM(F188:K188)</f>
        <v>10537500</v>
      </c>
    </row>
    <row r="195" spans="3:13" outlineLevel="1" x14ac:dyDescent="0.2">
      <c r="C195" s="9" t="s">
        <v>40</v>
      </c>
      <c r="D195" s="7" t="s">
        <v>33</v>
      </c>
      <c r="F195" s="98">
        <f>+F193/F194</f>
        <v>2.3077390653163197</v>
      </c>
    </row>
    <row r="197" spans="3:13" x14ac:dyDescent="0.2">
      <c r="G197" s="31"/>
      <c r="H197" s="31"/>
      <c r="I197" s="31"/>
      <c r="J197" s="31"/>
      <c r="K197" s="31"/>
      <c r="M197" s="100"/>
    </row>
  </sheetData>
  <pageMargins left="0.7" right="0.7" top="0.75" bottom="0.75" header="0.3" footer="0.3"/>
  <pageSetup scale="34" orientation="portrait" r:id="rId1"/>
  <rowBreaks count="4" manualBreakCount="4">
    <brk id="53" max="12" man="1"/>
    <brk id="116" max="12" man="1"/>
    <brk id="166" max="12" man="1"/>
    <brk id="196" max="12" man="1"/>
  </rowBreaks>
  <ignoredErrors>
    <ignoredError sqref="K23 G71:L71 G84:L84 G99:L99 E25 E27 K27 E43" unlockedFormula="1"/>
    <ignoredError sqref="J93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Office-Retail-Pro-Forma</vt:lpstr>
      <vt:lpstr>Asset_Mgmt_Fee</vt:lpstr>
      <vt:lpstr>CAM_Growth</vt:lpstr>
      <vt:lpstr>CAM_per_SF</vt:lpstr>
      <vt:lpstr>Down_Months</vt:lpstr>
      <vt:lpstr>Entry_Fee_Pct</vt:lpstr>
      <vt:lpstr>Entry_Price</vt:lpstr>
      <vt:lpstr>Exit_Cap_Rate</vt:lpstr>
      <vt:lpstr>Exit_Fee_Pct</vt:lpstr>
      <vt:lpstr>Exit_Price</vt:lpstr>
      <vt:lpstr>GP_Name</vt:lpstr>
      <vt:lpstr>Insurance_Growth</vt:lpstr>
      <vt:lpstr>Insurance_per_SF</vt:lpstr>
      <vt:lpstr>IRR_Hurdle</vt:lpstr>
      <vt:lpstr>Loan_Fees</vt:lpstr>
      <vt:lpstr>LP_Equity</vt:lpstr>
      <vt:lpstr>LP_Equity_Pct</vt:lpstr>
      <vt:lpstr>Mezzanine</vt:lpstr>
      <vt:lpstr>Mezzanine_Cash_Interest</vt:lpstr>
      <vt:lpstr>Mezzanine_LTV</vt:lpstr>
      <vt:lpstr>Mezzanine_PIK_Interest</vt:lpstr>
      <vt:lpstr>Months</vt:lpstr>
      <vt:lpstr>New_Free_Rent_Months</vt:lpstr>
      <vt:lpstr>New_LC_Pct</vt:lpstr>
      <vt:lpstr>New_Lease_Years</vt:lpstr>
      <vt:lpstr>New_TIs</vt:lpstr>
      <vt:lpstr>OP_Equity</vt:lpstr>
      <vt:lpstr>Op_Equity_Pct</vt:lpstr>
      <vt:lpstr>Op_Partner_Promote</vt:lpstr>
      <vt:lpstr>Op_Partner_Split_Below_Hurdle</vt:lpstr>
      <vt:lpstr>'Office-Retail-Pro-Forma'!Print_Area</vt:lpstr>
      <vt:lpstr>Prop_Mgmt_Fees</vt:lpstr>
      <vt:lpstr>Property_Name</vt:lpstr>
      <vt:lpstr>RE_Taxes_Growth_Rate</vt:lpstr>
      <vt:lpstr>RE_Taxes_Pct_Property_Value</vt:lpstr>
      <vt:lpstr>Renewal_Free_Rent_Months</vt:lpstr>
      <vt:lpstr>Renewal_LC_Pct</vt:lpstr>
      <vt:lpstr>Renewal_Probability</vt:lpstr>
      <vt:lpstr>Renewal_TIs</vt:lpstr>
      <vt:lpstr>Rentable_SF</vt:lpstr>
      <vt:lpstr>Reserve_Growth_Rate</vt:lpstr>
      <vt:lpstr>Reserve_per_SF</vt:lpstr>
      <vt:lpstr>Sale_Date</vt:lpstr>
      <vt:lpstr>Senior_Loan</vt:lpstr>
      <vt:lpstr>Senior_Loan_Amort_Period</vt:lpstr>
      <vt:lpstr>Senior_Loan_Interest_Rate</vt:lpstr>
      <vt:lpstr>Senior_Loan_Term</vt:lpstr>
      <vt:lpstr>Senior_LTV</vt:lpstr>
      <vt:lpstr>Start_Date</vt:lpstr>
      <vt:lpstr>Utilities_Growth</vt:lpstr>
      <vt:lpstr>Utilities_per_SF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BIWS</dc:creator>
  <cp:lastModifiedBy>Jordan Hitchcock</cp:lastModifiedBy>
  <dcterms:created xsi:type="dcterms:W3CDTF">2015-04-15T02:33:42Z</dcterms:created>
  <dcterms:modified xsi:type="dcterms:W3CDTF">2026-10-02T20:37:28Z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gmt_Fees" linkTarget="Prop_Mgmt_Fees">
    <vt:r8>0.03</vt:r8>
  </property>
</Properties>
</file>