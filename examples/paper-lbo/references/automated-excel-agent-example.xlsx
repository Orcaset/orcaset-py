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BO" sheetId="1" r:id="rId1"/>
  </sheets>
  <calcPr calcId="124519" fullCalcOnLoad="1"/>
</workbook>
</file>

<file path=xl/sharedStrings.xml><?xml version="1.0" encoding="utf-8"?>
<sst xmlns="http://schemas.openxmlformats.org/spreadsheetml/2006/main" count="69" uniqueCount="56">
  <si>
    <t>Five-Year LBO</t>
  </si>
  <si>
    <t>Assumptions</t>
  </si>
  <si>
    <t>Revenue Growth</t>
  </si>
  <si>
    <t>Purchase Multiple</t>
  </si>
  <si>
    <t>Debt Funding</t>
  </si>
  <si>
    <t>Interest Rate</t>
  </si>
  <si>
    <t>Tax Rate</t>
  </si>
  <si>
    <t>D&amp;A (annual)</t>
  </si>
  <si>
    <t>Capex (% Revenue)</t>
  </si>
  <si>
    <t>Change in NWC (annual)</t>
  </si>
  <si>
    <t>Exit Multiple</t>
  </si>
  <si>
    <t>Acquisition Date</t>
  </si>
  <si>
    <t>Exit Date</t>
  </si>
  <si>
    <t>Sources &amp; Uses</t>
  </si>
  <si>
    <t>Uses</t>
  </si>
  <si>
    <t>Purchase Price</t>
  </si>
  <si>
    <t>Total Uses</t>
  </si>
  <si>
    <t>Sources</t>
  </si>
  <si>
    <t>Debt Draws</t>
  </si>
  <si>
    <t>Equity Contribution</t>
  </si>
  <si>
    <t>Total Sources</t>
  </si>
  <si>
    <t>Pro Forma</t>
  </si>
  <si>
    <t>2023E</t>
  </si>
  <si>
    <t>2024E</t>
  </si>
  <si>
    <t>2025E</t>
  </si>
  <si>
    <t>2026E</t>
  </si>
  <si>
    <t>2027E</t>
  </si>
  <si>
    <t>2028 NTM</t>
  </si>
  <si>
    <t>Revenue</t>
  </si>
  <si>
    <t>EBITDA</t>
  </si>
  <si>
    <t>D&amp;A</t>
  </si>
  <si>
    <t>EBIT</t>
  </si>
  <si>
    <t>Interest</t>
  </si>
  <si>
    <t>EBT</t>
  </si>
  <si>
    <t>Taxes</t>
  </si>
  <si>
    <t>Capex</t>
  </si>
  <si>
    <t>Change in NWC</t>
  </si>
  <si>
    <t>FCF</t>
  </si>
  <si>
    <t>Debt Schedule</t>
  </si>
  <si>
    <t>Beginning Debt</t>
  </si>
  <si>
    <t>Debt Sweep</t>
  </si>
  <si>
    <t>Debt Balance (Pre-Balloon)</t>
  </si>
  <si>
    <t>Exit Debt Repayment</t>
  </si>
  <si>
    <t>Ending Debt</t>
  </si>
  <si>
    <t>Interest Check</t>
  </si>
  <si>
    <t>Levered Returns</t>
  </si>
  <si>
    <t>12/31/22</t>
  </si>
  <si>
    <t>Debt Repayments</t>
  </si>
  <si>
    <t>Exit Sale</t>
  </si>
  <si>
    <t>Levered Cash Flow</t>
  </si>
  <si>
    <t>MOIC</t>
  </si>
  <si>
    <t>Five-Year IRR</t>
  </si>
  <si>
    <t>Five-Year IRR Sensitivity</t>
  </si>
  <si>
    <t>Exit Multiple / Revenue Growth</t>
  </si>
  <si>
    <t>Interest is solved algebraically to equal 10.0% of average beginning and pre-balloon ending debt.</t>
  </si>
  <si>
    <t>Exit value equals the exit multiple times 2028 NTM EBITDA; all operating expenses and cash outflows are shown as negatives.</t>
  </si>
</sst>
</file>

<file path=xl/styles.xml><?xml version="1.0" encoding="utf-8"?>
<styleSheet xmlns="http://schemas.openxmlformats.org/spreadsheetml/2006/main">
  <numFmts count="5">
    <numFmt numFmtId="164" formatCode="0.0%;(0.0%);-"/>
    <numFmt numFmtId="165" formatCode="#,##0.0;(#,##0.0);-"/>
    <numFmt numFmtId="166" formatCode="0.0x"/>
    <numFmt numFmtId="167" formatCode="m/d/yy"/>
    <numFmt numFmtId="168" formatCode="0.0000; (0.0000);-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167" fontId="0" fillId="0" borderId="0" xfId="0" applyNumberFormat="1"/>
    <xf numFmtId="168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showGridLines="0" tabSelected="1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/>
    </sheetView>
  </sheetViews>
  <sheetFormatPr defaultRowHeight="15"/>
  <cols>
    <col min="1" max="1" width="29.7109375" customWidth="1"/>
    <col min="2" max="7" width="14.7109375" customWidth="1"/>
    <col min="9" max="9" width="3.7109375" customWidth="1"/>
    <col min="10" max="10" width="23.7109375" customWidth="1"/>
    <col min="11" max="11" width="15.7109375" customWidth="1"/>
  </cols>
  <sheetData>
    <row r="1" spans="1:11">
      <c r="A1" s="1" t="s">
        <v>0</v>
      </c>
    </row>
    <row r="2" spans="1:11">
      <c r="J2" s="2" t="s">
        <v>13</v>
      </c>
    </row>
    <row r="3" spans="1:11">
      <c r="A3" s="2" t="s">
        <v>1</v>
      </c>
      <c r="J3" s="3" t="s">
        <v>14</v>
      </c>
    </row>
    <row r="4" spans="1:11">
      <c r="A4" s="4" t="s">
        <v>2</v>
      </c>
      <c r="B4" s="5">
        <v>0.1</v>
      </c>
      <c r="J4" s="4" t="s">
        <v>15</v>
      </c>
      <c r="K4" s="6">
        <f>$B$5*B18</f>
        <v>200.0</v>
      </c>
    </row>
    <row r="5" spans="1:11">
      <c r="A5" s="4" t="s">
        <v>3</v>
      </c>
      <c r="B5" s="7">
        <v>5</v>
      </c>
      <c r="J5" s="8" t="s">
        <v>16</v>
      </c>
      <c r="K5" s="6">
        <f>SUM(K4)</f>
        <v>200.0</v>
      </c>
    </row>
    <row r="6" spans="1:11">
      <c r="A6" s="4" t="s">
        <v>4</v>
      </c>
      <c r="B6" s="5">
        <v>0.6</v>
      </c>
    </row>
    <row r="7" spans="1:11">
      <c r="A7" s="4" t="s">
        <v>5</v>
      </c>
      <c r="B7" s="5">
        <v>0.1</v>
      </c>
      <c r="J7" s="3" t="s">
        <v>17</v>
      </c>
    </row>
    <row r="8" spans="1:11">
      <c r="A8" s="4" t="s">
        <v>6</v>
      </c>
      <c r="B8" s="5">
        <v>0.4</v>
      </c>
      <c r="J8" s="4" t="s">
        <v>18</v>
      </c>
      <c r="K8" s="6">
        <f>K4*$B$6</f>
        <v>120.0</v>
      </c>
    </row>
    <row r="9" spans="1:11">
      <c r="A9" s="4" t="s">
        <v>7</v>
      </c>
      <c r="B9" s="6">
        <v>20</v>
      </c>
      <c r="J9" s="4" t="s">
        <v>19</v>
      </c>
      <c r="K9" s="6">
        <f>K5-K8</f>
        <v>80.0</v>
      </c>
    </row>
    <row r="10" spans="1:11">
      <c r="A10" s="4" t="s">
        <v>8</v>
      </c>
      <c r="B10" s="5">
        <v>0.15</v>
      </c>
      <c r="J10" s="8" t="s">
        <v>20</v>
      </c>
      <c r="K10" s="6">
        <f>SUM(K8:K9)</f>
        <v>200.0</v>
      </c>
    </row>
    <row r="11" spans="1:11">
      <c r="A11" s="4" t="s">
        <v>9</v>
      </c>
      <c r="B11" s="6">
        <v>5</v>
      </c>
    </row>
    <row r="12" spans="1:11">
      <c r="A12" s="4" t="s">
        <v>10</v>
      </c>
      <c r="B12" s="7">
        <v>5</v>
      </c>
    </row>
    <row r="13" spans="1:11">
      <c r="A13" s="4" t="s">
        <v>11</v>
      </c>
      <c r="B13" s="9">
        <v>44926</v>
      </c>
    </row>
    <row r="14" spans="1:11">
      <c r="A14" s="4" t="s">
        <v>12</v>
      </c>
      <c r="B14" s="9">
        <v>46752</v>
      </c>
    </row>
    <row r="16" spans="1:11">
      <c r="A16" s="2" t="s">
        <v>21</v>
      </c>
    </row>
    <row r="17" spans="1:7">
      <c r="B17" s="3" t="s">
        <v>22</v>
      </c>
      <c r="C17" s="3" t="s">
        <v>23</v>
      </c>
      <c r="D17" s="3" t="s">
        <v>24</v>
      </c>
      <c r="E17" s="3" t="s">
        <v>25</v>
      </c>
      <c r="F17" s="3" t="s">
        <v>26</v>
      </c>
      <c r="G17" s="3" t="s">
        <v>27</v>
      </c>
    </row>
    <row r="18" spans="1:7">
      <c r="A18" s="4" t="s">
        <v>28</v>
      </c>
      <c r="B18" s="6">
        <f>100</f>
        <v>100.0</v>
      </c>
      <c r="C18" s="6">
        <f>B18*(1+$B$4)</f>
        <v>110.00000000000001</v>
      </c>
      <c r="D18" s="6">
        <f>C18*(1+$B$4)</f>
        <v>121.00000000000003</v>
      </c>
      <c r="E18" s="6">
        <f>D18*(1+$B$4)</f>
        <v>133.10000000000005</v>
      </c>
      <c r="F18" s="6">
        <f>E18*(1+$B$4)</f>
        <v>146.41000000000008</v>
      </c>
      <c r="G18" s="6">
        <f>F18*(1+$B$4)</f>
        <v>161.0510000000001</v>
      </c>
    </row>
    <row r="19" spans="1:7">
      <c r="A19" s="4" t="s">
        <v>29</v>
      </c>
      <c r="B19" s="6">
        <f>B18*40%</f>
        <v>40.0</v>
      </c>
      <c r="C19" s="6">
        <f>C18*40%</f>
        <v>44.00000000000001</v>
      </c>
      <c r="D19" s="6">
        <f>D18*40%</f>
        <v>48.40000000000001</v>
      </c>
      <c r="E19" s="6">
        <f>E18*40%</f>
        <v>53.24000000000002</v>
      </c>
      <c r="F19" s="6">
        <f>F18*40%</f>
        <v>58.564000000000036</v>
      </c>
      <c r="G19" s="6">
        <f>G18*40%</f>
        <v>64.42040000000004</v>
      </c>
    </row>
    <row r="20" spans="1:7">
      <c r="A20" s="4" t="s">
        <v>30</v>
      </c>
      <c r="B20" s="6">
        <f>-$B$9</f>
        <v>-20.0</v>
      </c>
      <c r="C20" s="6">
        <f>-$B$9</f>
        <v>-20.0</v>
      </c>
      <c r="D20" s="6">
        <f>-$B$9</f>
        <v>-20.0</v>
      </c>
      <c r="E20" s="6">
        <f>-$B$9</f>
        <v>-20.0</v>
      </c>
      <c r="F20" s="6">
        <f>-$B$9</f>
        <v>-20.0</v>
      </c>
    </row>
    <row r="21" spans="1:7">
      <c r="A21" s="4" t="s">
        <v>31</v>
      </c>
      <c r="B21" s="6">
        <f>B19+B20</f>
        <v>20.0</v>
      </c>
      <c r="C21" s="6">
        <f>C19+C20</f>
        <v>24.000000000000007</v>
      </c>
      <c r="D21" s="6">
        <f>D19+D20</f>
        <v>28.400000000000013</v>
      </c>
      <c r="E21" s="6">
        <f>E19+E20</f>
        <v>33.24000000000002</v>
      </c>
      <c r="F21" s="6">
        <f>F19+F20</f>
        <v>38.564000000000036</v>
      </c>
    </row>
    <row r="22" spans="1:7">
      <c r="A22" s="4" t="s">
        <v>32</v>
      </c>
      <c r="B22" s="6">
        <f>(-$B$7*B32+($B$7/2)*(B19-$B$8*B21+B25+B26))/(1-($B$7/2)*(1-$B$8))</f>
        <v>-11.75257731958763</v>
      </c>
      <c r="C22" s="6">
        <f>(-$B$7*C32+($B$7/2)*(C19-$B$8*C21+C25+C26))/(1-($B$7/2)*(1-$B$8))</f>
        <v>-11.196035710489959</v>
      </c>
      <c r="D22" s="6">
        <f>(-$B$7*D32+($B$7/2)*(D19-$B$8*D21+D25+D26))/(1-($B$7/2)*(1-$B$8))</f>
        <v>-10.507646166808925</v>
      </c>
      <c r="E22" s="6">
        <f>(-$B$7*E32+($B$7/2)*(E19-$B$8*E21+E25+E26))/(1-($B$7/2)*(1-$B$8))</f>
        <v>-9.669510878157928</v>
      </c>
      <c r="F22" s="6">
        <f>(-$B$7*F32+($B$7/2)*(F19-$B$8*F21+F25+F26))/(1-($B$7/2)*(1-$B$8))</f>
        <v>-8.661650726291407</v>
      </c>
    </row>
    <row r="23" spans="1:7">
      <c r="A23" s="4" t="s">
        <v>33</v>
      </c>
      <c r="B23" s="6">
        <f>B21+B22</f>
        <v>8.24742268041237</v>
      </c>
      <c r="C23" s="6">
        <f>C21+C22</f>
        <v>12.803964289510049</v>
      </c>
      <c r="D23" s="6">
        <f>D21+D22</f>
        <v>17.892353833191088</v>
      </c>
      <c r="E23" s="6">
        <f>E21+E22</f>
        <v>23.570489121842094</v>
      </c>
      <c r="F23" s="6">
        <f>F21+F22</f>
        <v>29.90234927370863</v>
      </c>
    </row>
    <row r="24" spans="1:7">
      <c r="A24" s="4" t="s">
        <v>34</v>
      </c>
      <c r="B24" s="6">
        <f>-$B$8*B23</f>
        <v>-3.2989690721649483</v>
      </c>
      <c r="C24" s="6">
        <f>-$B$8*C23</f>
        <v>-5.12158571580402</v>
      </c>
      <c r="D24" s="6">
        <f>-$B$8*D23</f>
        <v>-7.156941533276435</v>
      </c>
      <c r="E24" s="6">
        <f>-$B$8*E23</f>
        <v>-9.428195648736837</v>
      </c>
      <c r="F24" s="6">
        <f>-$B$8*F23</f>
        <v>-11.960939709483453</v>
      </c>
    </row>
    <row r="25" spans="1:7">
      <c r="A25" s="4" t="s">
        <v>35</v>
      </c>
      <c r="B25" s="6">
        <f>-$B$10*B18</f>
        <v>-15.0</v>
      </c>
      <c r="C25" s="6">
        <f>-$B$10*C18</f>
        <v>-16.5</v>
      </c>
      <c r="D25" s="6">
        <f>-$B$10*D18</f>
        <v>-18.150000000000002</v>
      </c>
      <c r="E25" s="6">
        <f>-$B$10*E18</f>
        <v>-19.965000000000007</v>
      </c>
      <c r="F25" s="6">
        <f>-$B$10*F18</f>
        <v>-21.96150000000001</v>
      </c>
    </row>
    <row r="26" spans="1:7">
      <c r="A26" s="4" t="s">
        <v>36</v>
      </c>
      <c r="B26" s="6">
        <f>-$B$11</f>
        <v>-5.0</v>
      </c>
      <c r="C26" s="6">
        <f>-$B$11</f>
        <v>-5.0</v>
      </c>
      <c r="D26" s="6">
        <f>-$B$11</f>
        <v>-5.0</v>
      </c>
      <c r="E26" s="6">
        <f>-$B$11</f>
        <v>-5.0</v>
      </c>
      <c r="F26" s="6">
        <f>-$B$11</f>
        <v>-5.0</v>
      </c>
    </row>
    <row r="27" spans="1:7">
      <c r="A27" s="8" t="s">
        <v>37</v>
      </c>
      <c r="B27" s="6">
        <f>SUM(B19,B22,B24:B26)</f>
        <v>4.948453608247419</v>
      </c>
      <c r="C27" s="6">
        <f>SUM(C19,C22,C24:C26)</f>
        <v>6.182378573706025</v>
      </c>
      <c r="D27" s="6">
        <f>SUM(D19,D22,D24:D26)</f>
        <v>7.585412299914648</v>
      </c>
      <c r="E27" s="6">
        <f>SUM(E19,E22,E24:E26)</f>
        <v>9.177293473105248</v>
      </c>
      <c r="F27" s="6">
        <f>SUM(F19,F22,F24:F26)</f>
        <v>10.979909564225164</v>
      </c>
    </row>
    <row r="30" spans="1:7">
      <c r="A30" s="2" t="s">
        <v>38</v>
      </c>
    </row>
    <row r="31" spans="1:7">
      <c r="B31" s="3" t="s">
        <v>22</v>
      </c>
      <c r="C31" s="3" t="s">
        <v>23</v>
      </c>
      <c r="D31" s="3" t="s">
        <v>24</v>
      </c>
      <c r="E31" s="3" t="s">
        <v>25</v>
      </c>
      <c r="F31" s="3" t="s">
        <v>26</v>
      </c>
    </row>
    <row r="32" spans="1:7">
      <c r="A32" s="4" t="s">
        <v>39</v>
      </c>
      <c r="B32" s="6">
        <f>$K$8</f>
        <v>120.0</v>
      </c>
      <c r="C32" s="6">
        <f>B36</f>
        <v>115.05154639175258</v>
      </c>
      <c r="D32" s="6">
        <f>C36</f>
        <v>108.86916781804655</v>
      </c>
      <c r="E32" s="6">
        <f>D36</f>
        <v>101.2837555181319</v>
      </c>
      <c r="F32" s="6">
        <f>E36</f>
        <v>92.10646204502665</v>
      </c>
    </row>
    <row r="33" spans="1:7">
      <c r="A33" s="4" t="s">
        <v>40</v>
      </c>
      <c r="B33" s="6">
        <f>MIN(MAX(B27,0),B32)</f>
        <v>4.948453608247419</v>
      </c>
      <c r="C33" s="6">
        <f>MIN(MAX(C27,0),C32)</f>
        <v>6.182378573706025</v>
      </c>
      <c r="D33" s="6">
        <f>MIN(MAX(D27,0),D32)</f>
        <v>7.585412299914648</v>
      </c>
      <c r="E33" s="6">
        <f>MIN(MAX(E27,0),E32)</f>
        <v>9.177293473105248</v>
      </c>
      <c r="F33" s="6">
        <f>MIN(MAX(F27,0),F32)</f>
        <v>10.979909564225164</v>
      </c>
    </row>
    <row r="34" spans="1:7">
      <c r="A34" s="4" t="s">
        <v>41</v>
      </c>
      <c r="B34" s="6">
        <f>B32-B33</f>
        <v>115.05154639175258</v>
      </c>
      <c r="C34" s="6">
        <f>C32-C33</f>
        <v>108.86916781804655</v>
      </c>
      <c r="D34" s="6">
        <f>D32-D33</f>
        <v>101.2837555181319</v>
      </c>
      <c r="E34" s="6">
        <f>E32-E33</f>
        <v>92.10646204502665</v>
      </c>
      <c r="F34" s="6">
        <f>F32-F33</f>
        <v>81.12655248080148</v>
      </c>
    </row>
    <row r="35" spans="1:7">
      <c r="A35" s="4" t="s">
        <v>42</v>
      </c>
      <c r="B35" s="6">
        <f>0</f>
        <v>0.0</v>
      </c>
      <c r="C35" s="6">
        <f>0</f>
        <v>0.0</v>
      </c>
      <c r="D35" s="6">
        <f>0</f>
        <v>0.0</v>
      </c>
      <c r="E35" s="6">
        <f>0</f>
        <v>0.0</v>
      </c>
      <c r="F35" s="6">
        <f>-F34</f>
        <v>-81.12655248080148</v>
      </c>
    </row>
    <row r="36" spans="1:7">
      <c r="A36" s="8" t="s">
        <v>43</v>
      </c>
      <c r="B36" s="6">
        <f>B34+B35</f>
        <v>115.05154639175258</v>
      </c>
      <c r="C36" s="6">
        <f>C34+C35</f>
        <v>108.86916781804655</v>
      </c>
      <c r="D36" s="6">
        <f>D34+D35</f>
        <v>101.2837555181319</v>
      </c>
      <c r="E36" s="6">
        <f>E34+E35</f>
        <v>92.10646204502665</v>
      </c>
      <c r="F36" s="6">
        <f>F34+F35</f>
        <v>0.0</v>
      </c>
    </row>
    <row r="37" spans="1:7">
      <c r="A37" s="4" t="s">
        <v>44</v>
      </c>
      <c r="B37" s="10">
        <f>B22-(-$B$7*(B32+B34)/2)</f>
        <v>0.0</v>
      </c>
      <c r="C37" s="10">
        <f>C22-(-$B$7*(C32+C34)/2)</f>
        <v>0.0</v>
      </c>
      <c r="D37" s="10">
        <f>D22-(-$B$7*(D32+D34)/2)</f>
        <v>0.0</v>
      </c>
      <c r="E37" s="10">
        <f>E22-(-$B$7*(E32+E34)/2)</f>
        <v>0.0</v>
      </c>
      <c r="F37" s="10">
        <f>F22-(-$B$7*(F32+F34)/2)</f>
        <v>0.0</v>
      </c>
    </row>
    <row r="40" spans="1:7">
      <c r="A40" s="2" t="s">
        <v>45</v>
      </c>
    </row>
    <row r="41" spans="1:7">
      <c r="B41" s="3" t="s">
        <v>46</v>
      </c>
      <c r="C41" s="3" t="s">
        <v>22</v>
      </c>
      <c r="D41" s="3" t="s">
        <v>23</v>
      </c>
      <c r="E41" s="3" t="s">
        <v>24</v>
      </c>
      <c r="F41" s="3" t="s">
        <v>25</v>
      </c>
      <c r="G41" s="3" t="s">
        <v>26</v>
      </c>
    </row>
    <row r="42" spans="1:7">
      <c r="A42" s="4" t="s">
        <v>15</v>
      </c>
      <c r="B42" s="6">
        <f>-$K$4</f>
        <v>-200.0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</row>
    <row r="43" spans="1:7">
      <c r="A43" s="4" t="s">
        <v>18</v>
      </c>
      <c r="B43" s="6">
        <f>$K$8</f>
        <v>120.0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</row>
    <row r="44" spans="1:7">
      <c r="A44" s="4" t="s">
        <v>37</v>
      </c>
      <c r="B44" s="6">
        <v>0</v>
      </c>
      <c r="C44" s="6">
        <f>B27</f>
        <v>4.948453608247419</v>
      </c>
      <c r="D44" s="6">
        <f>C27</f>
        <v>6.182378573706025</v>
      </c>
      <c r="E44" s="6">
        <f>D27</f>
        <v>7.585412299914648</v>
      </c>
      <c r="F44" s="6">
        <f>E27</f>
        <v>9.177293473105248</v>
      </c>
      <c r="G44" s="6">
        <f>F27</f>
        <v>10.979909564225164</v>
      </c>
    </row>
    <row r="45" spans="1:7">
      <c r="A45" s="4" t="s">
        <v>47</v>
      </c>
      <c r="B45" s="6">
        <v>0</v>
      </c>
      <c r="C45" s="6">
        <f>-B33+B35</f>
        <v>-4.948453608247419</v>
      </c>
      <c r="D45" s="6">
        <f>-C33+C35</f>
        <v>-6.182378573706025</v>
      </c>
      <c r="E45" s="6">
        <f>-D33+D35</f>
        <v>-7.585412299914648</v>
      </c>
      <c r="F45" s="6">
        <f>-E33+E35</f>
        <v>-9.177293473105248</v>
      </c>
      <c r="G45" s="6">
        <f>-F33+F35</f>
        <v>-92.10646204502665</v>
      </c>
    </row>
    <row r="46" spans="1:7">
      <c r="A46" s="4" t="s">
        <v>48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f>$B$12*$G$19</f>
        <v>322.1020000000002</v>
      </c>
    </row>
    <row r="47" spans="1:7">
      <c r="A47" s="8" t="s">
        <v>49</v>
      </c>
      <c r="B47" s="6">
        <f>SUM(B42:B46)</f>
        <v>-80.0</v>
      </c>
      <c r="C47" s="6">
        <f>SUM(C42:C46)</f>
        <v>0.0</v>
      </c>
      <c r="D47" s="6">
        <f>SUM(D42:D46)</f>
        <v>0.0</v>
      </c>
      <c r="E47" s="6">
        <f>SUM(E42:E46)</f>
        <v>0.0</v>
      </c>
      <c r="F47" s="6">
        <f>SUM(F42:F46)</f>
        <v>0.0</v>
      </c>
      <c r="G47" s="6">
        <f>SUM(G42:G46)</f>
        <v>240.97544751919872</v>
      </c>
    </row>
    <row r="50" spans="1:6">
      <c r="A50" s="8" t="s">
        <v>50</v>
      </c>
      <c r="B50" s="7">
        <f>SUMIF(B47:G47,"&gt;0",B47:G47)/-SUMIF(B47:G47,"&lt;0",B47:G47)</f>
        <v>3.012193093989984</v>
      </c>
    </row>
    <row r="51" spans="1:6">
      <c r="A51" s="8" t="s">
        <v>51</v>
      </c>
      <c r="B51" s="5">
        <f>IRR(B47:G47)</f>
        <v>0.2467419183165971</v>
      </c>
    </row>
    <row r="54" spans="1:6">
      <c r="A54" s="2" t="s">
        <v>52</v>
      </c>
    </row>
    <row r="55" spans="1:6">
      <c r="A55" s="3" t="s">
        <v>53</v>
      </c>
      <c r="B55" s="5">
        <v>0.06</v>
      </c>
      <c r="C55" s="5">
        <v>0.08</v>
      </c>
      <c r="D55" s="5">
        <v>0.1</v>
      </c>
      <c r="E55" s="5">
        <v>0.12</v>
      </c>
      <c r="F55" s="5">
        <v>0.14</v>
      </c>
    </row>
    <row r="56" spans="1:6">
      <c r="A56" s="7">
        <v>3</v>
      </c>
      <c r="B56" s="5">
        <f>LET(g,B$55,m,$A56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-0.01318728859406293</v>
      </c>
      <c r="C56" s="5">
        <f>LET(g,C$55,m,$A56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0.030241770509531696</v>
      </c>
      <c r="D56" s="5">
        <f>LET(g,D$55,m,$A56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0.06986743139724338</v>
      </c>
      <c r="E56" s="5">
        <f>LET(g,E$55,m,$A56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0.10665339131953866</v>
      </c>
      <c r="F56" s="5">
        <f>LET(g,F$55,m,$A56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0.14124255387643236</v>
      </c>
    </row>
    <row r="57" spans="1:6">
      <c r="A57" s="7">
        <v>4</v>
      </c>
      <c r="B57" s="5">
        <f>LET(g,B$55,m,$A57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0.0992315764524252</v>
      </c>
      <c r="C57" s="5">
        <f>LET(g,C$55,m,$A57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0.13641134737991756</v>
      </c>
      <c r="D57" s="5">
        <f>LET(g,D$55,m,$A57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0.17154245176017002</v>
      </c>
      <c r="E57" s="5">
        <f>LET(g,E$55,m,$A57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0.20503661035890408</v>
      </c>
      <c r="F57" s="5">
        <f>LET(g,F$55,m,$A57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0.23719681429453332</v>
      </c>
    </row>
    <row r="58" spans="1:6">
      <c r="A58" s="7">
        <v>5</v>
      </c>
      <c r="B58" s="5">
        <f>LET(g,B$55,m,$A58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0.1785779137111092</v>
      </c>
      <c r="C58" s="5">
        <f>LET(g,C$55,m,$A58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0.21336074313850162</v>
      </c>
      <c r="D58" s="5">
        <f>LET(g,D$55,m,$A58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0.2467419183165971</v>
      </c>
      <c r="E58" s="5">
        <f>LET(g,E$55,m,$A58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0.2789684280347251</v>
      </c>
      <c r="F58" s="5">
        <f>LET(g,F$55,m,$A58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0.3102305619293566</v>
      </c>
    </row>
    <row r="59" spans="1:6">
      <c r="A59" s="7">
        <v>6</v>
      </c>
      <c r="B59" s="5">
        <f>LET(g,B$55,m,$A59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0.24097073655473777</v>
      </c>
      <c r="C59" s="5">
        <f>LET(g,C$55,m,$A59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0.2746395667874262</v>
      </c>
      <c r="D59" s="5">
        <f>LET(g,D$55,m,$A59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0.3072378924970336</v>
      </c>
      <c r="E59" s="5">
        <f>LET(g,E$55,m,$A59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0.3389388952731516</v>
      </c>
      <c r="F59" s="5">
        <f>LET(g,F$55,m,$A59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0.36987962012350706</v>
      </c>
    </row>
    <row r="60" spans="1:6">
      <c r="A60" s="7">
        <v>7</v>
      </c>
      <c r="B60" s="5">
        <f>LET(g,B$55,m,$A60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0.2928707274819675</v>
      </c>
      <c r="C60" s="5">
        <f>LET(g,C$55,m,$A60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0.3259946113278842</v>
      </c>
      <c r="D60" s="5">
        <f>LET(g,D$55,m,$A60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0.358248393742576</v>
      </c>
      <c r="E60" s="5">
        <f>LET(g,E$55,m,$A60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0.38976460480065267</v>
      </c>
      <c r="F60" s="5">
        <f>LET(g,F$55,m,$A60,b1,$K$8,p1,(40%*100-$B$8*(40%*100-$B$9)-$B$10*100-$B$11),i1,(-$B$7*b1+($B$7/2)*p1)/(1-($B$7/2)*(1-$B$8)),f1,p1+(1-$B$8)*i1,b2,b1-MIN(MAX(f1,0),b1),p2,(40%*(100*(1+g)^1)-$B$8*(40%*(100*(1+g)^1)-$B$9)-$B$10*(100*(1+g)^1)-$B$11),i2,(-$B$7*b2+($B$7/2)*p2)/(1-($B$7/2)*(1-$B$8)),f2,p2+(1-$B$8)*i2,b3,b2-MIN(MAX(f2,0),b2),p3,(40%*(100*(1+g)^2)-$B$8*(40%*(100*(1+g)^2)-$B$9)-$B$10*(100*(1+g)^2)-$B$11),i3,(-$B$7*b3+($B$7/2)*p3)/(1-($B$7/2)*(1-$B$8)),f3,p3+(1-$B$8)*i3,b4,b3-MIN(MAX(f3,0),b3),p4,(40%*(100*(1+g)^3)-$B$8*(40%*(100*(1+g)^3)-$B$9)-$B$10*(100*(1+g)^3)-$B$11),i4,(-$B$7*b4+($B$7/2)*p4)/(1-($B$7/2)*(1-$B$8)),f4,p4+(1-$B$8)*i4,b5,b4-MIN(MAX(f4,0),b4),p5,(40%*(100*(1+g)^4)-$B$8*(40%*(100*(1+g)^4)-$B$9)-$B$10*(100*(1+g)^4)-$B$11),i5,(-$B$7*b5+($B$7/2)*p5)/(1-($B$7/2)*(1-$B$8)),f5,p5+(1-$B$8)*i5,b6,b5-MIN(MAX(f5,0),b5),POWER((m*40%*100*(1+g)^5-b6)/$K$9,1/5)-1)</f>
        <v>0.42064998360143346</v>
      </c>
    </row>
    <row r="62" spans="1:6">
      <c r="A62" s="11" t="s">
        <v>54</v>
      </c>
    </row>
    <row r="63" spans="1:6">
      <c r="A63" s="1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2026-08-26T01:59:09Z</dcterms:created>
  <dcterms:modified xsi:type="dcterms:W3CDTF">2026-08-26T01:59:09Z</dcterms:modified>
</cp:coreProperties>
</file>