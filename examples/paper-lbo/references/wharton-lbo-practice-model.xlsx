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die\Documents\Career Services_Undergrads\LBO Model\"/>
    </mc:Choice>
  </mc:AlternateContent>
  <xr:revisionPtr revIDLastSave="0" documentId="8_{67B830D5-C71B-4F09-B900-286AA1768052}" xr6:coauthVersionLast="47" xr6:coauthVersionMax="47" xr10:uidLastSave="{00000000-0000-0000-0000-000000000000}"/>
  <bookViews>
    <workbookView xWindow="-110" yWindow="-110" windowWidth="19420" windowHeight="10420" xr2:uid="{57DA01C4-17DE-4E35-9686-BB70294A30DB}"/>
  </bookViews>
  <sheets>
    <sheet name="KEY NOTES" sheetId="2" r:id="rId1"/>
    <sheet name="BLANK MODEL" sheetId="3" r:id="rId2"/>
    <sheet name="ANSWER KEY" sheetId="4" r:id="rId3"/>
  </sheets>
  <definedNames>
    <definedName name="Circ" localSheetId="1">'BLANK MODEL'!$M$1</definedName>
    <definedName name="Circ">'ANSWER KEY'!$M$1</definedName>
    <definedName name="_xlnm.Print_Area" localSheetId="2">'ANSWER KEY'!$A$1:$U$64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4" l="1"/>
  <c r="H57" i="4"/>
  <c r="G57" i="4"/>
  <c r="F57" i="4"/>
  <c r="E57" i="4"/>
  <c r="I46" i="4"/>
  <c r="H46" i="4"/>
  <c r="G46" i="4"/>
  <c r="F46" i="4"/>
  <c r="E46" i="4"/>
  <c r="I39" i="4"/>
  <c r="H39" i="4"/>
  <c r="G39" i="4"/>
  <c r="F39" i="4"/>
  <c r="E39" i="4"/>
  <c r="I34" i="4"/>
  <c r="H34" i="4"/>
  <c r="G34" i="4"/>
  <c r="F34" i="4"/>
  <c r="E34" i="4"/>
  <c r="J33" i="4"/>
  <c r="H33" i="4"/>
  <c r="F33" i="4"/>
  <c r="E33" i="4"/>
  <c r="I33" i="4" s="1"/>
  <c r="J31" i="4"/>
  <c r="I31" i="4"/>
  <c r="H31" i="4"/>
  <c r="G31" i="4"/>
  <c r="F31" i="4"/>
  <c r="E30" i="4"/>
  <c r="F27" i="4"/>
  <c r="G27" i="4" s="1"/>
  <c r="H27" i="4" s="1"/>
  <c r="I27" i="4" s="1"/>
  <c r="J27" i="4" s="1"/>
  <c r="G26" i="4"/>
  <c r="H26" i="4" s="1"/>
  <c r="I26" i="4" s="1"/>
  <c r="J26" i="4" s="1"/>
  <c r="F26" i="4"/>
  <c r="L9" i="4"/>
  <c r="D28" i="4" s="1"/>
  <c r="D57" i="4" s="1"/>
  <c r="O8" i="4"/>
  <c r="O9" i="4" s="1"/>
  <c r="O10" i="4" s="1"/>
  <c r="O7" i="4"/>
  <c r="R5" i="4"/>
  <c r="S5" i="4" s="1"/>
  <c r="T5" i="4" s="1"/>
  <c r="Q5" i="4"/>
  <c r="H5" i="4"/>
  <c r="H9" i="4" s="1"/>
  <c r="D5" i="4"/>
  <c r="H10" i="4" s="1"/>
  <c r="I60" i="3"/>
  <c r="G59" i="3"/>
  <c r="I58" i="3"/>
  <c r="D58" i="3"/>
  <c r="I57" i="3"/>
  <c r="H57" i="3"/>
  <c r="G57" i="3"/>
  <c r="G61" i="3" s="1"/>
  <c r="F57" i="3"/>
  <c r="F61" i="3" s="1"/>
  <c r="E57" i="3"/>
  <c r="I47" i="3"/>
  <c r="I59" i="3" s="1"/>
  <c r="H47" i="3"/>
  <c r="H59" i="3" s="1"/>
  <c r="H61" i="3" s="1"/>
  <c r="G47" i="3"/>
  <c r="F47" i="3"/>
  <c r="F59" i="3" s="1"/>
  <c r="E47" i="3"/>
  <c r="E59" i="3" s="1"/>
  <c r="I37" i="3"/>
  <c r="E37" i="3"/>
  <c r="I35" i="3"/>
  <c r="H35" i="3"/>
  <c r="H37" i="3" s="1"/>
  <c r="G35" i="3"/>
  <c r="G37" i="3" s="1"/>
  <c r="F35" i="3"/>
  <c r="F37" i="3" s="1"/>
  <c r="E35" i="3"/>
  <c r="D28" i="3"/>
  <c r="D57" i="3" s="1"/>
  <c r="D61" i="3" s="1"/>
  <c r="G27" i="3"/>
  <c r="H27" i="3" s="1"/>
  <c r="I27" i="3" s="1"/>
  <c r="J27" i="3" s="1"/>
  <c r="F27" i="3"/>
  <c r="F26" i="3"/>
  <c r="G26" i="3" s="1"/>
  <c r="H26" i="3" s="1"/>
  <c r="I26" i="3" s="1"/>
  <c r="J26" i="3" s="1"/>
  <c r="L11" i="3"/>
  <c r="L12" i="3" s="1"/>
  <c r="H11" i="3"/>
  <c r="O8" i="3"/>
  <c r="O9" i="3" s="1"/>
  <c r="O10" i="3" s="1"/>
  <c r="O7" i="3"/>
  <c r="R5" i="3"/>
  <c r="S5" i="3" s="1"/>
  <c r="T5" i="3" s="1"/>
  <c r="Q5" i="3"/>
  <c r="F30" i="4" l="1"/>
  <c r="F45" i="4" s="1"/>
  <c r="D52" i="4"/>
  <c r="H11" i="4"/>
  <c r="E61" i="3"/>
  <c r="I61" i="3"/>
  <c r="L11" i="4"/>
  <c r="E32" i="4"/>
  <c r="G33" i="4"/>
  <c r="E45" i="4"/>
  <c r="G30" i="4" l="1"/>
  <c r="G45" i="4" s="1"/>
  <c r="F32" i="4"/>
  <c r="F35" i="4"/>
  <c r="F42" i="4"/>
  <c r="E42" i="4"/>
  <c r="E35" i="4"/>
  <c r="D58" i="4"/>
  <c r="D61" i="4" s="1"/>
  <c r="E50" i="4"/>
  <c r="G32" i="4"/>
  <c r="L12" i="4"/>
  <c r="H30" i="4" l="1"/>
  <c r="G35" i="4"/>
  <c r="G42" i="4"/>
  <c r="I30" i="4"/>
  <c r="H45" i="4"/>
  <c r="H32" i="4"/>
  <c r="H42" i="4" l="1"/>
  <c r="H35" i="4"/>
  <c r="J30" i="4"/>
  <c r="J32" i="4" s="1"/>
  <c r="I60" i="4" s="1"/>
  <c r="I45" i="4"/>
  <c r="I32" i="4"/>
  <c r="I42" i="4" l="1"/>
  <c r="I35" i="4"/>
  <c r="O5" i="4" l="1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43" i="4"/>
  <c r="F43" i="4"/>
  <c r="G43" i="4"/>
  <c r="H43" i="4"/>
  <c r="I43" i="4"/>
  <c r="E44" i="4"/>
  <c r="F44" i="4"/>
  <c r="G44" i="4"/>
  <c r="H44" i="4"/>
  <c r="I44" i="4"/>
  <c r="E47" i="4"/>
  <c r="F47" i="4"/>
  <c r="G47" i="4"/>
  <c r="H47" i="4"/>
  <c r="I47" i="4"/>
  <c r="F50" i="4"/>
  <c r="G50" i="4"/>
  <c r="H50" i="4"/>
  <c r="I50" i="4"/>
  <c r="E51" i="4"/>
  <c r="F51" i="4"/>
  <c r="G51" i="4"/>
  <c r="H51" i="4"/>
  <c r="I51" i="4"/>
  <c r="E52" i="4"/>
  <c r="F52" i="4"/>
  <c r="G52" i="4"/>
  <c r="H52" i="4"/>
  <c r="I52" i="4"/>
  <c r="E54" i="4"/>
  <c r="F54" i="4"/>
  <c r="G54" i="4"/>
  <c r="H54" i="4"/>
  <c r="I54" i="4"/>
  <c r="I58" i="4"/>
  <c r="E59" i="4"/>
  <c r="F59" i="4"/>
  <c r="G59" i="4"/>
  <c r="H59" i="4"/>
  <c r="I59" i="4"/>
  <c r="E61" i="4"/>
  <c r="F61" i="4"/>
  <c r="G61" i="4"/>
  <c r="H61" i="4"/>
  <c r="I61" i="4"/>
  <c r="C63" i="4"/>
  <c r="C64" i="4"/>
</calcChain>
</file>

<file path=xl/sharedStrings.xml><?xml version="1.0" encoding="utf-8"?>
<sst xmlns="http://schemas.openxmlformats.org/spreadsheetml/2006/main" count="148" uniqueCount="71">
  <si>
    <t>Helpful Model Notes</t>
  </si>
  <si>
    <t>* All text in blue signifies assumptions that are given to you, ahead of completing the model (do not edit these)</t>
  </si>
  <si>
    <t>* All text in black is for calculations / linking up different data</t>
  </si>
  <si>
    <t>* Tab "BLANK MODEL" has a an empty model to practice setting up on your own</t>
  </si>
  <si>
    <t>* Tab "ANSWER KEY" has a fully complete model, which matches the "LBO Modeling Workshop Tutorial" Powerpoint</t>
  </si>
  <si>
    <t xml:space="preserve">*Enjoy the modeling learning process! </t>
  </si>
  <si>
    <t>Circ</t>
  </si>
  <si>
    <t>Assumptions</t>
  </si>
  <si>
    <t>Purchase Price Analysis</t>
  </si>
  <si>
    <t>IRR Sensitivity</t>
  </si>
  <si>
    <t>Purchase Price Financing</t>
  </si>
  <si>
    <t>Purchase Multiple</t>
  </si>
  <si>
    <t>Debt</t>
  </si>
  <si>
    <t>Entry EBITDA</t>
  </si>
  <si>
    <t>Revenue Growth Rate</t>
  </si>
  <si>
    <t>Equity</t>
  </si>
  <si>
    <t>Total Purchase Price</t>
  </si>
  <si>
    <t>Purchase Time:</t>
  </si>
  <si>
    <t>Exit Multiple</t>
  </si>
  <si>
    <t>Other Assumptions</t>
  </si>
  <si>
    <t>Interest Rate</t>
  </si>
  <si>
    <t>Sources</t>
  </si>
  <si>
    <t>Uses</t>
  </si>
  <si>
    <t>2023 Revenue</t>
  </si>
  <si>
    <t>Term Loan</t>
  </si>
  <si>
    <t>Purchase Price</t>
  </si>
  <si>
    <t>EBITDA margin</t>
  </si>
  <si>
    <t>Revenue growth</t>
  </si>
  <si>
    <t>Total Sources</t>
  </si>
  <si>
    <t>Total Uses</t>
  </si>
  <si>
    <t>Capex % of sales</t>
  </si>
  <si>
    <t>Check</t>
  </si>
  <si>
    <t>Operating WC Increase p.a.</t>
  </si>
  <si>
    <t>Depreciation p.a.</t>
  </si>
  <si>
    <t>Tax Rate</t>
  </si>
  <si>
    <t>Assume that all FCF is used for Debt Paydown?</t>
  </si>
  <si>
    <t>1=Yes / 0=No</t>
  </si>
  <si>
    <t>Exit Assumptions</t>
  </si>
  <si>
    <t>Multiple (based on 2028 EBITDA)</t>
  </si>
  <si>
    <t>Length of Investment</t>
  </si>
  <si>
    <t>5 years</t>
  </si>
  <si>
    <t>LBO MODEL</t>
  </si>
  <si>
    <t>Year</t>
  </si>
  <si>
    <t>P&amp;L Analysis</t>
  </si>
  <si>
    <t>Closing</t>
  </si>
  <si>
    <t>Revenue</t>
  </si>
  <si>
    <t>% growth</t>
  </si>
  <si>
    <t>EBITDA</t>
  </si>
  <si>
    <t>% margin</t>
  </si>
  <si>
    <t>Less: D&amp;A</t>
  </si>
  <si>
    <t xml:space="preserve">EBIT  </t>
  </si>
  <si>
    <t>Less: Interest</t>
  </si>
  <si>
    <t>EBT</t>
  </si>
  <si>
    <t>Taxes</t>
  </si>
  <si>
    <t>% tax rate</t>
  </si>
  <si>
    <t>FCF Build</t>
  </si>
  <si>
    <t>Less: Taxes</t>
  </si>
  <si>
    <t>Less: Capex</t>
  </si>
  <si>
    <t>Less: Change in NWC</t>
  </si>
  <si>
    <t>Total FCF</t>
  </si>
  <si>
    <t>Debt Analysis</t>
  </si>
  <si>
    <t>Beginning</t>
  </si>
  <si>
    <t>Paydown</t>
  </si>
  <si>
    <t>End</t>
  </si>
  <si>
    <t>Interest Expense</t>
  </si>
  <si>
    <t>Exit Analysis</t>
  </si>
  <si>
    <t>Cashflows</t>
  </si>
  <si>
    <t>Exit Value</t>
  </si>
  <si>
    <t>Equity of PE Firm</t>
  </si>
  <si>
    <t>MOM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</si>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</sst>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&quot;x&quot;"/>
    <numFmt numFmtId="165" formatCode="0.0%"/>
    <numFmt numFmtId="166" formatCode="_([$$-409]* #,##0.0_);_([$$-409]* \(#,##0.0\);_([$$-409]* &quot;-&quot;??_);_(@_)"/>
    <numFmt numFmtId="167" formatCode=";;;"/>
    <numFmt numFmtId="168" formatCode="_(#,##0.0%_);\(#,##0.0%\);_(&quot;–&quot;_)_%;_(@_)_%"/>
    <numFmt numFmtId="169" formatCode="_(&quot;$&quot;* #,##0.0_);_(&quot;$&quot;* \(#,##0.0\);_(&quot;$&quot;* &quot;-&quot;??_);_(@_)"/>
    <numFmt numFmtId="170" formatCode="_([$$-409]* #,##0.0_);_([$$-409]* \(#,##0.0\);_([$$-409]* &quot;-&quot;?_);_(@_)"/>
    <numFmt numFmtId="171" formatCode="_(* #,##0.0_);_(* \(#,##0.0\);_(* &quot;-&quot;?_);_(@_)"/>
    <numFmt numFmtId="172" formatCode="_(#,##0_)_%;\(#,##0\)_%;_(&quot;–&quot;_)_%;_(@_)_%"/>
    <numFmt numFmtId="173" formatCode="&quot;Year&quot;\ #"/>
    <numFmt numFmtId="174" formatCode="_([$$-409]* #,##0.00_);_([$$-409]* \(#,##0.00\);_([$$-409]* &quot;-&quot;??_);_(@_)"/>
    <numFmt numFmtId="175" formatCode="_([$$]#,##0_)_%;\([$$]#,##0\)_%;_(&quot;–&quot;_)_%;_(@_)_%"/>
    <numFmt numFmtId="176" formatCode="_(0.0\x_)_)_';_(\(0.0\x\)_'_';_(&quot;–&quot;_)_%;_(@_)_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FF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rgb="FFC00000"/>
      <name val="Arial"/>
      <family val="2"/>
    </font>
    <font>
      <b/>
      <sz val="9"/>
      <name val="Arial"/>
      <family val="2"/>
    </font>
    <font>
      <i/>
      <sz val="9"/>
      <color theme="1"/>
      <name val="Arial"/>
      <family val="2"/>
    </font>
    <font>
      <b/>
      <u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2" borderId="2" xfId="0" applyFont="1" applyFill="1" applyBorder="1"/>
    <xf numFmtId="0" fontId="4" fillId="0" borderId="0" xfId="0" applyFont="1"/>
    <xf numFmtId="0" fontId="5" fillId="3" borderId="1" xfId="0" applyFont="1" applyFill="1" applyBorder="1"/>
    <xf numFmtId="0" fontId="3" fillId="3" borderId="1" xfId="0" applyFont="1" applyFill="1" applyBorder="1"/>
    <xf numFmtId="0" fontId="6" fillId="4" borderId="0" xfId="0" applyFont="1" applyFill="1"/>
    <xf numFmtId="0" fontId="3" fillId="4" borderId="0" xfId="0" applyFont="1" applyFill="1"/>
    <xf numFmtId="0" fontId="3" fillId="0" borderId="1" xfId="0" applyFont="1" applyBorder="1"/>
    <xf numFmtId="164" fontId="4" fillId="0" borderId="0" xfId="0" applyNumberFormat="1" applyFont="1"/>
    <xf numFmtId="165" fontId="4" fillId="0" borderId="0" xfId="2" applyNumberFormat="1" applyFont="1" applyBorder="1"/>
    <xf numFmtId="166" fontId="4" fillId="0" borderId="0" xfId="0" applyNumberFormat="1" applyFont="1"/>
    <xf numFmtId="0" fontId="5" fillId="0" borderId="1" xfId="0" applyFont="1" applyBorder="1" applyAlignment="1">
      <alignment horizontal="centerContinuous"/>
    </xf>
    <xf numFmtId="165" fontId="7" fillId="0" borderId="0" xfId="2" applyNumberFormat="1" applyFont="1" applyBorder="1"/>
    <xf numFmtId="0" fontId="8" fillId="0" borderId="0" xfId="0" applyFont="1"/>
    <xf numFmtId="0" fontId="3" fillId="0" borderId="3" xfId="0" applyFont="1" applyBorder="1"/>
    <xf numFmtId="166" fontId="3" fillId="0" borderId="3" xfId="0" applyNumberFormat="1" applyFont="1" applyBorder="1"/>
    <xf numFmtId="167" fontId="3" fillId="0" borderId="1" xfId="0" applyNumberFormat="1" applyFont="1" applyBorder="1"/>
    <xf numFmtId="168" fontId="5" fillId="0" borderId="4" xfId="0" applyNumberFormat="1" applyFont="1" applyBorder="1"/>
    <xf numFmtId="168" fontId="5" fillId="0" borderId="1" xfId="0" applyNumberFormat="1" applyFont="1" applyBorder="1"/>
    <xf numFmtId="14" fontId="4" fillId="0" borderId="0" xfId="2" applyNumberFormat="1" applyFont="1" applyBorder="1" applyAlignment="1">
      <alignment horizontal="right"/>
    </xf>
    <xf numFmtId="166" fontId="3" fillId="0" borderId="0" xfId="0" applyNumberFormat="1" applyFont="1"/>
    <xf numFmtId="0" fontId="5" fillId="0" borderId="5" xfId="0" applyFont="1" applyBorder="1" applyAlignment="1">
      <alignment horizontal="center" textRotation="90"/>
    </xf>
    <xf numFmtId="164" fontId="9" fillId="0" borderId="0" xfId="0" applyNumberFormat="1" applyFont="1" applyAlignment="1">
      <alignment horizontal="center"/>
    </xf>
    <xf numFmtId="168" fontId="3" fillId="0" borderId="6" xfId="0" applyNumberFormat="1" applyFont="1" applyBorder="1"/>
    <xf numFmtId="168" fontId="3" fillId="0" borderId="0" xfId="0" applyNumberFormat="1" applyFont="1"/>
    <xf numFmtId="0" fontId="5" fillId="0" borderId="7" xfId="0" applyFont="1" applyBorder="1" applyAlignment="1">
      <alignment horizontal="center" textRotation="90"/>
    </xf>
    <xf numFmtId="165" fontId="4" fillId="0" borderId="0" xfId="2" applyNumberFormat="1" applyFont="1"/>
    <xf numFmtId="0" fontId="5" fillId="5" borderId="0" xfId="0" applyFont="1" applyFill="1"/>
    <xf numFmtId="0" fontId="3" fillId="5" borderId="0" xfId="0" applyFont="1" applyFill="1"/>
    <xf numFmtId="168" fontId="3" fillId="0" borderId="8" xfId="0" applyNumberFormat="1" applyFont="1" applyBorder="1"/>
    <xf numFmtId="169" fontId="4" fillId="0" borderId="0" xfId="1" applyNumberFormat="1" applyFont="1"/>
    <xf numFmtId="170" fontId="3" fillId="0" borderId="0" xfId="0" applyNumberFormat="1" applyFont="1"/>
    <xf numFmtId="171" fontId="3" fillId="0" borderId="0" xfId="0" applyNumberFormat="1" applyFont="1"/>
    <xf numFmtId="0" fontId="5" fillId="0" borderId="3" xfId="0" applyFont="1" applyBorder="1"/>
    <xf numFmtId="170" fontId="3" fillId="0" borderId="3" xfId="0" applyNumberFormat="1" applyFont="1" applyBorder="1"/>
    <xf numFmtId="0" fontId="7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9" xfId="0" applyFont="1" applyBorder="1"/>
    <xf numFmtId="0" fontId="3" fillId="0" borderId="10" xfId="0" applyFont="1" applyBorder="1"/>
    <xf numFmtId="165" fontId="4" fillId="0" borderId="11" xfId="2" applyNumberFormat="1" applyFont="1" applyBorder="1"/>
    <xf numFmtId="0" fontId="10" fillId="0" borderId="12" xfId="0" applyFont="1" applyBorder="1"/>
    <xf numFmtId="0" fontId="3" fillId="0" borderId="13" xfId="0" applyFont="1" applyBorder="1"/>
    <xf numFmtId="172" fontId="4" fillId="6" borderId="14" xfId="2" applyNumberFormat="1" applyFont="1" applyFill="1" applyBorder="1"/>
    <xf numFmtId="0" fontId="5" fillId="0" borderId="1" xfId="0" applyFont="1" applyBorder="1"/>
    <xf numFmtId="0" fontId="4" fillId="0" borderId="0" xfId="0" applyFont="1" applyAlignment="1">
      <alignment horizontal="right"/>
    </xf>
    <xf numFmtId="0" fontId="5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right"/>
    </xf>
    <xf numFmtId="173" fontId="3" fillId="0" borderId="0" xfId="0" applyNumberFormat="1" applyFont="1"/>
    <xf numFmtId="17" fontId="5" fillId="0" borderId="1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72" fontId="3" fillId="0" borderId="0" xfId="0" applyNumberFormat="1" applyFont="1"/>
    <xf numFmtId="0" fontId="5" fillId="0" borderId="0" xfId="0" applyFont="1"/>
    <xf numFmtId="17" fontId="5" fillId="0" borderId="0" xfId="0" applyNumberFormat="1" applyFont="1" applyAlignment="1">
      <alignment horizontal="center"/>
    </xf>
    <xf numFmtId="0" fontId="10" fillId="0" borderId="0" xfId="0" applyFont="1" applyAlignment="1">
      <alignment horizontal="left" indent="1"/>
    </xf>
    <xf numFmtId="9" fontId="10" fillId="0" borderId="0" xfId="0" applyNumberFormat="1" applyFont="1"/>
    <xf numFmtId="171" fontId="3" fillId="0" borderId="3" xfId="0" applyNumberFormat="1" applyFont="1" applyBorder="1"/>
    <xf numFmtId="9" fontId="3" fillId="0" borderId="0" xfId="0" applyNumberFormat="1" applyFont="1"/>
    <xf numFmtId="0" fontId="11" fillId="0" borderId="0" xfId="0" applyFont="1"/>
    <xf numFmtId="0" fontId="3" fillId="0" borderId="0" xfId="0" applyFont="1" applyAlignment="1">
      <alignment horizontal="left" indent="1"/>
    </xf>
    <xf numFmtId="0" fontId="5" fillId="7" borderId="3" xfId="0" applyFont="1" applyFill="1" applyBorder="1"/>
    <xf numFmtId="166" fontId="5" fillId="7" borderId="3" xfId="0" applyNumberFormat="1" applyFont="1" applyFill="1" applyBorder="1"/>
    <xf numFmtId="166" fontId="5" fillId="0" borderId="0" xfId="0" applyNumberFormat="1" applyFont="1"/>
    <xf numFmtId="174" fontId="3" fillId="0" borderId="0" xfId="0" applyNumberFormat="1" applyFont="1"/>
    <xf numFmtId="170" fontId="5" fillId="7" borderId="3" xfId="0" applyNumberFormat="1" applyFont="1" applyFill="1" applyBorder="1"/>
    <xf numFmtId="170" fontId="10" fillId="0" borderId="0" xfId="0" applyNumberFormat="1" applyFont="1"/>
    <xf numFmtId="174" fontId="10" fillId="0" borderId="0" xfId="0" applyNumberFormat="1" applyFont="1"/>
    <xf numFmtId="175" fontId="3" fillId="0" borderId="0" xfId="0" applyNumberFormat="1" applyFont="1"/>
    <xf numFmtId="0" fontId="3" fillId="0" borderId="15" xfId="0" applyFont="1" applyBorder="1"/>
    <xf numFmtId="175" fontId="3" fillId="0" borderId="15" xfId="0" applyNumberFormat="1" applyFont="1" applyBorder="1"/>
    <xf numFmtId="0" fontId="5" fillId="7" borderId="0" xfId="0" applyFont="1" applyFill="1"/>
    <xf numFmtId="175" fontId="5" fillId="7" borderId="0" xfId="0" applyNumberFormat="1" applyFont="1" applyFill="1"/>
    <xf numFmtId="175" fontId="5" fillId="0" borderId="0" xfId="0" applyNumberFormat="1" applyFont="1"/>
    <xf numFmtId="9" fontId="5" fillId="8" borderId="9" xfId="0" applyNumberFormat="1" applyFont="1" applyFill="1" applyBorder="1"/>
    <xf numFmtId="176" fontId="5" fillId="8" borderId="11" xfId="0" applyNumberFormat="1" applyFont="1" applyFill="1" applyBorder="1"/>
    <xf numFmtId="0" fontId="5" fillId="8" borderId="12" xfId="0" applyFont="1" applyFill="1" applyBorder="1"/>
    <xf numFmtId="165" fontId="5" fillId="8" borderId="14" xfId="0" applyNumberFormat="1" applyFont="1" applyFill="1" applyBorder="1"/>
    <xf numFmtId="43" fontId="3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99A5-D7B8-489B-B8E6-36A7B648D878}">
  <sheetPr>
    <tabColor rgb="FF002060"/>
  </sheetPr>
  <dimension ref="B2:M7"/>
  <sheetViews>
    <sheetView showGridLines="0" tabSelected="1" workbookViewId="0">
      <selection activeCell="D14" sqref="D14"/>
    </sheetView>
  </sheetViews>
  <sheetFormatPr defaultRowHeight="14.5" x14ac:dyDescent="0.35"/>
  <sheetData>
    <row r="2" spans="2:13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2:13" x14ac:dyDescent="0.35">
      <c r="B3" t="s">
        <v>1</v>
      </c>
    </row>
    <row r="4" spans="2:13" x14ac:dyDescent="0.35">
      <c r="B4" t="s">
        <v>2</v>
      </c>
    </row>
    <row r="5" spans="2:13" x14ac:dyDescent="0.35">
      <c r="B5" t="s">
        <v>3</v>
      </c>
    </row>
    <row r="6" spans="2:13" x14ac:dyDescent="0.35">
      <c r="B6" t="s">
        <v>4</v>
      </c>
    </row>
    <row r="7" spans="2:13" x14ac:dyDescent="0.35">
      <c r="B7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8835-8A49-4377-A2D2-840CA1206375}">
  <sheetPr>
    <tabColor theme="4" tint="0.39997558519241921"/>
  </sheetPr>
  <dimension ref="B1:T65"/>
  <sheetViews>
    <sheetView showGridLines="0" view="pageBreakPreview" topLeftCell="A40" zoomScale="85" zoomScaleNormal="100" zoomScaleSheetLayoutView="85" workbookViewId="0">
      <selection activeCell="B8" sqref="B8"/>
    </sheetView>
  </sheetViews>
  <sheetFormatPr defaultColWidth="9.1796875" defaultRowHeight="13" customHeight="1" x14ac:dyDescent="0.25"/>
  <cols>
    <col min="1" max="1" width="5.54296875" style="3" customWidth="1"/>
    <col min="2" max="2" width="18" style="3" customWidth="1"/>
    <col min="3" max="3" width="9.1796875" style="3"/>
    <col min="4" max="4" width="11.1796875" style="3" customWidth="1"/>
    <col min="5" max="12" width="9.1796875" style="3"/>
    <col min="13" max="13" width="6.7265625" style="3" customWidth="1"/>
    <col min="14" max="14" width="4.54296875" style="3" customWidth="1"/>
    <col min="15" max="15" width="10.7265625" style="3" customWidth="1"/>
    <col min="16" max="20" width="13.7265625" style="3" customWidth="1"/>
    <col min="21" max="16384" width="9.1796875" style="3"/>
  </cols>
  <sheetData>
    <row r="1" spans="2:20" ht="13" customHeight="1" x14ac:dyDescent="0.25">
      <c r="L1" s="3" t="s">
        <v>6</v>
      </c>
      <c r="M1" s="4">
        <v>1</v>
      </c>
      <c r="N1" s="5"/>
    </row>
    <row r="2" spans="2:20" ht="13" customHeight="1" x14ac:dyDescent="0.25">
      <c r="B2" s="6" t="s">
        <v>7</v>
      </c>
      <c r="C2" s="7"/>
      <c r="D2" s="7"/>
      <c r="F2" s="6" t="s">
        <v>8</v>
      </c>
      <c r="G2" s="6"/>
      <c r="H2" s="6"/>
      <c r="I2" s="6"/>
      <c r="J2" s="6"/>
      <c r="K2" s="6"/>
      <c r="L2" s="6"/>
      <c r="N2" s="8" t="s">
        <v>9</v>
      </c>
      <c r="O2" s="8"/>
      <c r="P2" s="9"/>
      <c r="Q2" s="9"/>
      <c r="R2" s="9"/>
      <c r="S2" s="9"/>
      <c r="T2" s="9"/>
    </row>
    <row r="3" spans="2:20" ht="13" customHeight="1" x14ac:dyDescent="0.25">
      <c r="B3" s="10" t="s">
        <v>10</v>
      </c>
      <c r="C3" s="10"/>
      <c r="D3" s="10"/>
      <c r="F3" s="3" t="s">
        <v>11</v>
      </c>
      <c r="H3" s="11">
        <v>5</v>
      </c>
    </row>
    <row r="4" spans="2:20" ht="13" customHeight="1" x14ac:dyDescent="0.25">
      <c r="B4" s="3" t="s">
        <v>12</v>
      </c>
      <c r="D4" s="12">
        <v>0.6</v>
      </c>
      <c r="F4" s="3" t="s">
        <v>13</v>
      </c>
      <c r="H4" s="13">
        <v>40</v>
      </c>
      <c r="P4" s="14" t="s">
        <v>14</v>
      </c>
      <c r="Q4" s="14"/>
      <c r="R4" s="14"/>
      <c r="S4" s="14"/>
      <c r="T4" s="14"/>
    </row>
    <row r="5" spans="2:20" ht="13" customHeight="1" x14ac:dyDescent="0.25">
      <c r="B5" s="3" t="s">
        <v>15</v>
      </c>
      <c r="D5" s="15"/>
      <c r="E5" s="16"/>
      <c r="F5" s="17" t="s">
        <v>16</v>
      </c>
      <c r="G5" s="17"/>
      <c r="H5" s="18"/>
      <c r="N5" s="10"/>
      <c r="O5" s="19"/>
      <c r="P5" s="20">
        <v>0.06</v>
      </c>
      <c r="Q5" s="21">
        <f>P5+2%</f>
        <v>0.08</v>
      </c>
      <c r="R5" s="21">
        <f t="shared" ref="R5:T5" si="0">Q5+2%</f>
        <v>0.1</v>
      </c>
      <c r="S5" s="21">
        <f t="shared" si="0"/>
        <v>0.12000000000000001</v>
      </c>
      <c r="T5" s="21">
        <f t="shared" si="0"/>
        <v>0.14000000000000001</v>
      </c>
    </row>
    <row r="6" spans="2:20" ht="13" customHeight="1" x14ac:dyDescent="0.25">
      <c r="B6" s="3" t="s">
        <v>17</v>
      </c>
      <c r="D6" s="22">
        <v>44926</v>
      </c>
      <c r="H6" s="23"/>
      <c r="N6" s="24" t="s">
        <v>18</v>
      </c>
      <c r="O6" s="25">
        <v>3</v>
      </c>
      <c r="P6" s="26"/>
      <c r="Q6" s="27"/>
      <c r="R6" s="27"/>
      <c r="S6" s="27"/>
      <c r="T6" s="27"/>
    </row>
    <row r="7" spans="2:20" ht="13" customHeight="1" x14ac:dyDescent="0.25">
      <c r="B7" s="10" t="s">
        <v>19</v>
      </c>
      <c r="C7" s="10"/>
      <c r="D7" s="10"/>
      <c r="F7" s="16"/>
      <c r="J7" s="16"/>
      <c r="N7" s="28"/>
      <c r="O7" s="25">
        <f>O6+1</f>
        <v>4</v>
      </c>
      <c r="P7" s="26"/>
      <c r="Q7" s="27"/>
      <c r="R7" s="27"/>
      <c r="S7" s="27"/>
      <c r="T7" s="27"/>
    </row>
    <row r="8" spans="2:20" ht="13" customHeight="1" x14ac:dyDescent="0.25">
      <c r="B8" s="3" t="s">
        <v>20</v>
      </c>
      <c r="D8" s="29">
        <v>0.1</v>
      </c>
      <c r="F8" s="30" t="s">
        <v>21</v>
      </c>
      <c r="G8" s="31"/>
      <c r="H8" s="31"/>
      <c r="J8" s="30" t="s">
        <v>22</v>
      </c>
      <c r="K8" s="31"/>
      <c r="L8" s="31"/>
      <c r="N8" s="28"/>
      <c r="O8" s="25">
        <f t="shared" ref="O8:O10" si="1">O7+1</f>
        <v>5</v>
      </c>
      <c r="P8" s="26"/>
      <c r="Q8" s="27"/>
      <c r="R8" s="32"/>
      <c r="S8" s="27"/>
      <c r="T8" s="27"/>
    </row>
    <row r="9" spans="2:20" ht="13" customHeight="1" x14ac:dyDescent="0.25">
      <c r="B9" s="3" t="s">
        <v>23</v>
      </c>
      <c r="D9" s="33">
        <v>100</v>
      </c>
      <c r="F9" s="3" t="s">
        <v>24</v>
      </c>
      <c r="H9" s="34"/>
      <c r="J9" s="3" t="s">
        <v>25</v>
      </c>
      <c r="L9" s="23"/>
      <c r="N9" s="28"/>
      <c r="O9" s="25">
        <f t="shared" si="1"/>
        <v>6</v>
      </c>
      <c r="P9" s="26"/>
      <c r="Q9" s="27"/>
      <c r="R9" s="27"/>
      <c r="S9" s="27"/>
      <c r="T9" s="27"/>
    </row>
    <row r="10" spans="2:20" ht="13" customHeight="1" x14ac:dyDescent="0.25">
      <c r="B10" s="3" t="s">
        <v>26</v>
      </c>
      <c r="D10" s="29">
        <v>0.4</v>
      </c>
      <c r="F10" s="3" t="s">
        <v>15</v>
      </c>
      <c r="H10" s="35"/>
      <c r="N10" s="28"/>
      <c r="O10" s="25">
        <f t="shared" si="1"/>
        <v>7</v>
      </c>
      <c r="P10" s="26"/>
      <c r="Q10" s="27"/>
      <c r="R10" s="27"/>
      <c r="S10" s="27"/>
      <c r="T10" s="27"/>
    </row>
    <row r="11" spans="2:20" ht="13" customHeight="1" x14ac:dyDescent="0.25">
      <c r="B11" s="3" t="s">
        <v>27</v>
      </c>
      <c r="D11" s="29">
        <v>0.1</v>
      </c>
      <c r="F11" s="36" t="s">
        <v>28</v>
      </c>
      <c r="G11" s="17"/>
      <c r="H11" s="37">
        <f>SUM(H9:H10)</f>
        <v>0</v>
      </c>
      <c r="J11" s="36" t="s">
        <v>29</v>
      </c>
      <c r="K11" s="17"/>
      <c r="L11" s="18">
        <f>SUM(L9:L10)</f>
        <v>0</v>
      </c>
      <c r="O11" s="38"/>
    </row>
    <row r="12" spans="2:20" ht="13" customHeight="1" x14ac:dyDescent="0.3">
      <c r="B12" s="3" t="s">
        <v>30</v>
      </c>
      <c r="D12" s="29">
        <v>0.15</v>
      </c>
      <c r="J12" s="39" t="s">
        <v>31</v>
      </c>
      <c r="L12" s="40" t="str">
        <f>IF(L11=H11,"True",L11-H11)</f>
        <v>True</v>
      </c>
    </row>
    <row r="13" spans="2:20" ht="13" customHeight="1" x14ac:dyDescent="0.25">
      <c r="B13" s="3" t="s">
        <v>32</v>
      </c>
      <c r="D13" s="33">
        <v>5</v>
      </c>
    </row>
    <row r="14" spans="2:20" ht="13" customHeight="1" x14ac:dyDescent="0.35">
      <c r="B14" s="3" t="s">
        <v>33</v>
      </c>
      <c r="D14" s="33">
        <v>20</v>
      </c>
      <c r="P14"/>
      <c r="Q14"/>
      <c r="R14"/>
      <c r="S14"/>
      <c r="T14"/>
    </row>
    <row r="15" spans="2:20" ht="13" customHeight="1" x14ac:dyDescent="0.35">
      <c r="B15" s="3" t="s">
        <v>34</v>
      </c>
      <c r="D15" s="29">
        <v>0.4</v>
      </c>
      <c r="P15"/>
      <c r="Q15"/>
      <c r="R15"/>
      <c r="S15"/>
      <c r="T15"/>
    </row>
    <row r="16" spans="2:20" ht="13" customHeight="1" x14ac:dyDescent="0.35">
      <c r="D16" s="29"/>
      <c r="P16"/>
      <c r="Q16"/>
      <c r="R16"/>
      <c r="S16"/>
      <c r="T16"/>
    </row>
    <row r="17" spans="2:20" ht="13" customHeight="1" x14ac:dyDescent="0.35">
      <c r="B17" s="41" t="s">
        <v>35</v>
      </c>
      <c r="C17" s="42"/>
      <c r="D17" s="43"/>
      <c r="P17"/>
      <c r="Q17"/>
      <c r="R17"/>
      <c r="S17"/>
      <c r="T17"/>
    </row>
    <row r="18" spans="2:20" ht="13" customHeight="1" x14ac:dyDescent="0.35">
      <c r="B18" s="44" t="s">
        <v>36</v>
      </c>
      <c r="C18" s="45"/>
      <c r="D18" s="46">
        <v>1</v>
      </c>
      <c r="P18"/>
      <c r="Q18"/>
      <c r="R18"/>
      <c r="S18"/>
      <c r="T18"/>
    </row>
    <row r="19" spans="2:20" ht="13" customHeight="1" x14ac:dyDescent="0.35">
      <c r="B19" s="39"/>
      <c r="D19" s="29"/>
      <c r="P19"/>
      <c r="Q19"/>
      <c r="R19"/>
      <c r="S19"/>
      <c r="T19"/>
    </row>
    <row r="20" spans="2:20" ht="13" customHeight="1" x14ac:dyDescent="0.35">
      <c r="B20" s="47" t="s">
        <v>37</v>
      </c>
      <c r="C20" s="10"/>
      <c r="D20" s="10"/>
      <c r="P20"/>
      <c r="Q20"/>
      <c r="R20"/>
      <c r="S20"/>
      <c r="T20"/>
    </row>
    <row r="21" spans="2:20" ht="13" customHeight="1" x14ac:dyDescent="0.35">
      <c r="B21" s="3" t="s">
        <v>38</v>
      </c>
      <c r="D21" s="11">
        <v>5</v>
      </c>
      <c r="P21"/>
      <c r="Q21"/>
      <c r="R21"/>
      <c r="S21"/>
      <c r="T21"/>
    </row>
    <row r="22" spans="2:20" ht="13" customHeight="1" x14ac:dyDescent="0.35">
      <c r="B22" s="3" t="s">
        <v>39</v>
      </c>
      <c r="D22" s="48" t="s">
        <v>40</v>
      </c>
      <c r="P22"/>
      <c r="Q22"/>
      <c r="R22"/>
      <c r="S22"/>
      <c r="T22"/>
    </row>
    <row r="23" spans="2:20" ht="13" customHeight="1" x14ac:dyDescent="0.35">
      <c r="D23" s="48"/>
      <c r="P23"/>
      <c r="Q23"/>
      <c r="R23"/>
      <c r="S23"/>
      <c r="T23"/>
    </row>
    <row r="24" spans="2:20" ht="13" customHeight="1" x14ac:dyDescent="0.25">
      <c r="B24" s="49" t="s">
        <v>41</v>
      </c>
      <c r="C24" s="50"/>
      <c r="D24" s="51"/>
      <c r="E24" s="50"/>
      <c r="F24" s="50"/>
      <c r="G24" s="50"/>
      <c r="H24" s="50"/>
      <c r="I24" s="50"/>
      <c r="J24" s="50"/>
    </row>
    <row r="25" spans="2:20" ht="13" customHeight="1" x14ac:dyDescent="0.25">
      <c r="B25" s="16"/>
    </row>
    <row r="26" spans="2:20" ht="13" customHeight="1" x14ac:dyDescent="0.25">
      <c r="B26" s="3" t="s">
        <v>42</v>
      </c>
      <c r="D26" s="52"/>
      <c r="E26" s="52">
        <v>1</v>
      </c>
      <c r="F26" s="52">
        <f t="shared" ref="F26:J27" si="2">E26+1</f>
        <v>2</v>
      </c>
      <c r="G26" s="52">
        <f t="shared" si="2"/>
        <v>3</v>
      </c>
      <c r="H26" s="52">
        <f t="shared" si="2"/>
        <v>4</v>
      </c>
      <c r="I26" s="52">
        <f t="shared" si="2"/>
        <v>5</v>
      </c>
      <c r="J26" s="52">
        <f t="shared" si="2"/>
        <v>6</v>
      </c>
    </row>
    <row r="27" spans="2:20" ht="13" customHeight="1" x14ac:dyDescent="0.25">
      <c r="B27" s="47" t="s">
        <v>43</v>
      </c>
      <c r="C27" s="47"/>
      <c r="D27" s="53" t="s">
        <v>44</v>
      </c>
      <c r="E27" s="47">
        <v>2023</v>
      </c>
      <c r="F27" s="47">
        <f>E27+1</f>
        <v>2024</v>
      </c>
      <c r="G27" s="47">
        <f t="shared" si="2"/>
        <v>2025</v>
      </c>
      <c r="H27" s="47">
        <f t="shared" si="2"/>
        <v>2026</v>
      </c>
      <c r="I27" s="47">
        <f>H27+1</f>
        <v>2027</v>
      </c>
      <c r="J27" s="47">
        <f t="shared" si="2"/>
        <v>2028</v>
      </c>
    </row>
    <row r="28" spans="2:20" ht="13" customHeight="1" x14ac:dyDescent="0.25">
      <c r="B28" s="3" t="s">
        <v>25</v>
      </c>
      <c r="D28" s="54">
        <f>-L9</f>
        <v>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</row>
    <row r="29" spans="2:20" ht="13" customHeight="1" x14ac:dyDescent="0.25">
      <c r="B29" s="56"/>
      <c r="C29" s="56"/>
      <c r="D29" s="57"/>
      <c r="E29" s="56"/>
      <c r="F29" s="56"/>
      <c r="G29" s="56"/>
      <c r="H29" s="56"/>
      <c r="I29" s="56"/>
      <c r="J29" s="56"/>
    </row>
    <row r="30" spans="2:20" ht="13" customHeight="1" x14ac:dyDescent="0.25">
      <c r="B30" s="3" t="s">
        <v>45</v>
      </c>
      <c r="C30" s="23"/>
      <c r="D30" s="23"/>
      <c r="E30" s="23"/>
      <c r="F30" s="23"/>
      <c r="G30" s="23"/>
      <c r="H30" s="23"/>
      <c r="I30" s="23"/>
      <c r="J30" s="23"/>
    </row>
    <row r="31" spans="2:20" ht="13" customHeight="1" x14ac:dyDescent="0.3">
      <c r="B31" s="58" t="s">
        <v>46</v>
      </c>
      <c r="F31" s="27"/>
      <c r="G31" s="27"/>
      <c r="H31" s="27"/>
      <c r="I31" s="27"/>
      <c r="J31" s="27"/>
    </row>
    <row r="32" spans="2:20" ht="13" customHeight="1" x14ac:dyDescent="0.25">
      <c r="B32" s="3" t="s">
        <v>47</v>
      </c>
      <c r="C32" s="35"/>
      <c r="D32" s="35"/>
      <c r="E32" s="35"/>
      <c r="F32" s="35"/>
      <c r="G32" s="35"/>
      <c r="H32" s="35"/>
      <c r="I32" s="35"/>
      <c r="J32" s="35"/>
    </row>
    <row r="33" spans="2:10" ht="13" customHeight="1" x14ac:dyDescent="0.3">
      <c r="B33" s="58" t="s">
        <v>48</v>
      </c>
      <c r="C33" s="59"/>
      <c r="D33" s="59"/>
      <c r="E33" s="59"/>
      <c r="F33" s="59"/>
      <c r="G33" s="59"/>
      <c r="H33" s="59"/>
      <c r="I33" s="59"/>
      <c r="J33" s="59"/>
    </row>
    <row r="34" spans="2:10" ht="13" customHeight="1" x14ac:dyDescent="0.25">
      <c r="B34" s="3" t="s">
        <v>49</v>
      </c>
      <c r="C34" s="35"/>
      <c r="D34" s="35"/>
      <c r="E34" s="35"/>
      <c r="F34" s="35"/>
      <c r="G34" s="35"/>
      <c r="H34" s="35"/>
      <c r="I34" s="35"/>
      <c r="J34" s="35"/>
    </row>
    <row r="35" spans="2:10" ht="13" customHeight="1" x14ac:dyDescent="0.25">
      <c r="B35" s="17" t="s">
        <v>50</v>
      </c>
      <c r="C35" s="60"/>
      <c r="D35" s="60"/>
      <c r="E35" s="60">
        <f>E32+E34</f>
        <v>0</v>
      </c>
      <c r="F35" s="60">
        <f t="shared" ref="F35:I35" si="3">F32+F34</f>
        <v>0</v>
      </c>
      <c r="G35" s="60">
        <f t="shared" si="3"/>
        <v>0</v>
      </c>
      <c r="H35" s="60">
        <f t="shared" si="3"/>
        <v>0</v>
      </c>
      <c r="I35" s="60">
        <f t="shared" si="3"/>
        <v>0</v>
      </c>
      <c r="J35" s="35"/>
    </row>
    <row r="36" spans="2:10" ht="13" customHeight="1" x14ac:dyDescent="0.25">
      <c r="B36" s="3" t="s">
        <v>51</v>
      </c>
      <c r="C36" s="35"/>
      <c r="D36" s="35"/>
      <c r="E36" s="35"/>
      <c r="F36" s="35"/>
      <c r="G36" s="35"/>
      <c r="H36" s="35"/>
      <c r="I36" s="35"/>
      <c r="J36" s="35"/>
    </row>
    <row r="37" spans="2:10" ht="13" customHeight="1" x14ac:dyDescent="0.25">
      <c r="B37" s="17" t="s">
        <v>52</v>
      </c>
      <c r="C37" s="60"/>
      <c r="D37" s="60"/>
      <c r="E37" s="60">
        <f>E36+E35</f>
        <v>0</v>
      </c>
      <c r="F37" s="60">
        <f t="shared" ref="F37:I37" si="4">F36+F35</f>
        <v>0</v>
      </c>
      <c r="G37" s="60">
        <f t="shared" si="4"/>
        <v>0</v>
      </c>
      <c r="H37" s="60">
        <f t="shared" si="4"/>
        <v>0</v>
      </c>
      <c r="I37" s="60">
        <f t="shared" si="4"/>
        <v>0</v>
      </c>
      <c r="J37" s="35"/>
    </row>
    <row r="38" spans="2:10" ht="13" customHeight="1" x14ac:dyDescent="0.25">
      <c r="B38" s="3" t="s">
        <v>53</v>
      </c>
      <c r="C38" s="35"/>
      <c r="D38" s="35"/>
      <c r="E38" s="35"/>
      <c r="F38" s="35"/>
      <c r="G38" s="35"/>
      <c r="H38" s="35"/>
      <c r="I38" s="35"/>
      <c r="J38" s="35"/>
    </row>
    <row r="39" spans="2:10" ht="13" customHeight="1" x14ac:dyDescent="0.3">
      <c r="B39" s="39" t="s">
        <v>54</v>
      </c>
      <c r="C39" s="59"/>
      <c r="D39" s="59"/>
      <c r="E39" s="59"/>
      <c r="F39" s="59"/>
      <c r="G39" s="59"/>
      <c r="H39" s="59"/>
      <c r="I39" s="59"/>
      <c r="J39" s="61"/>
    </row>
    <row r="40" spans="2:10" ht="13" customHeight="1" x14ac:dyDescent="0.3">
      <c r="B40" s="39"/>
      <c r="C40" s="59"/>
      <c r="D40" s="59"/>
      <c r="E40" s="59"/>
      <c r="F40" s="59"/>
      <c r="G40" s="59"/>
      <c r="H40" s="59"/>
      <c r="I40" s="59"/>
      <c r="J40" s="61"/>
    </row>
    <row r="41" spans="2:10" ht="13" customHeight="1" x14ac:dyDescent="0.25">
      <c r="B41" s="62" t="s">
        <v>55</v>
      </c>
    </row>
    <row r="42" spans="2:10" ht="13" customHeight="1" x14ac:dyDescent="0.25">
      <c r="B42" s="3" t="s">
        <v>47</v>
      </c>
      <c r="C42" s="35"/>
      <c r="D42" s="35"/>
      <c r="E42" s="35"/>
      <c r="F42" s="35"/>
      <c r="G42" s="35"/>
      <c r="H42" s="35"/>
      <c r="I42" s="35"/>
      <c r="J42" s="35"/>
    </row>
    <row r="43" spans="2:10" ht="13" customHeight="1" x14ac:dyDescent="0.25">
      <c r="B43" s="63" t="s">
        <v>56</v>
      </c>
      <c r="C43" s="35"/>
      <c r="D43" s="35"/>
      <c r="E43" s="35"/>
      <c r="F43" s="35"/>
      <c r="G43" s="35"/>
      <c r="H43" s="35"/>
      <c r="I43" s="35"/>
      <c r="J43" s="35"/>
    </row>
    <row r="44" spans="2:10" ht="13" customHeight="1" x14ac:dyDescent="0.25">
      <c r="B44" s="63" t="s">
        <v>51</v>
      </c>
      <c r="C44" s="35"/>
      <c r="D44" s="35"/>
      <c r="E44" s="35"/>
      <c r="F44" s="35"/>
      <c r="G44" s="35"/>
      <c r="H44" s="35"/>
      <c r="I44" s="35"/>
      <c r="J44" s="35"/>
    </row>
    <row r="45" spans="2:10" ht="13" customHeight="1" x14ac:dyDescent="0.25">
      <c r="B45" s="63" t="s">
        <v>57</v>
      </c>
      <c r="C45" s="35"/>
      <c r="D45" s="35"/>
      <c r="E45" s="35"/>
      <c r="F45" s="35"/>
      <c r="G45" s="35"/>
      <c r="H45" s="35"/>
      <c r="I45" s="35"/>
      <c r="J45" s="35"/>
    </row>
    <row r="46" spans="2:10" ht="13" customHeight="1" x14ac:dyDescent="0.25">
      <c r="B46" s="63" t="s">
        <v>58</v>
      </c>
      <c r="C46" s="35"/>
      <c r="D46" s="35"/>
      <c r="E46" s="35"/>
      <c r="F46" s="35"/>
      <c r="G46" s="35"/>
      <c r="H46" s="35"/>
      <c r="I46" s="35"/>
      <c r="J46" s="35"/>
    </row>
    <row r="47" spans="2:10" ht="13" customHeight="1" x14ac:dyDescent="0.25">
      <c r="B47" s="64" t="s">
        <v>59</v>
      </c>
      <c r="C47" s="65"/>
      <c r="D47" s="65"/>
      <c r="E47" s="65">
        <f>SUM(E42:E46)</f>
        <v>0</v>
      </c>
      <c r="F47" s="65">
        <f t="shared" ref="F47:I47" si="5">SUM(F42:F46)</f>
        <v>0</v>
      </c>
      <c r="G47" s="65">
        <f t="shared" si="5"/>
        <v>0</v>
      </c>
      <c r="H47" s="65">
        <f t="shared" si="5"/>
        <v>0</v>
      </c>
      <c r="I47" s="65">
        <f t="shared" si="5"/>
        <v>0</v>
      </c>
      <c r="J47" s="66"/>
    </row>
    <row r="48" spans="2:10" ht="13" customHeight="1" x14ac:dyDescent="0.25">
      <c r="B48" s="16"/>
    </row>
    <row r="49" spans="2:10" ht="13" customHeight="1" x14ac:dyDescent="0.25">
      <c r="B49" s="62" t="s">
        <v>60</v>
      </c>
    </row>
    <row r="50" spans="2:10" ht="13" customHeight="1" x14ac:dyDescent="0.25">
      <c r="B50" s="3" t="s">
        <v>61</v>
      </c>
      <c r="C50" s="34"/>
      <c r="D50" s="34"/>
      <c r="E50" s="34"/>
      <c r="F50" s="34"/>
      <c r="G50" s="34"/>
      <c r="H50" s="34"/>
      <c r="I50" s="34"/>
      <c r="J50" s="34"/>
    </row>
    <row r="51" spans="2:10" ht="13" customHeight="1" x14ac:dyDescent="0.25">
      <c r="B51" s="3" t="s">
        <v>62</v>
      </c>
      <c r="C51" s="35"/>
      <c r="D51" s="35"/>
      <c r="E51" s="35"/>
      <c r="F51" s="35"/>
      <c r="G51" s="35"/>
      <c r="H51" s="35"/>
      <c r="I51" s="35"/>
      <c r="J51" s="67"/>
    </row>
    <row r="52" spans="2:10" ht="13" customHeight="1" x14ac:dyDescent="0.25">
      <c r="B52" s="64" t="s">
        <v>63</v>
      </c>
      <c r="C52" s="68"/>
      <c r="D52" s="68"/>
      <c r="E52" s="68"/>
      <c r="F52" s="68"/>
      <c r="G52" s="68"/>
      <c r="H52" s="68"/>
      <c r="I52" s="68"/>
      <c r="J52" s="34"/>
    </row>
    <row r="53" spans="2:10" ht="13" customHeight="1" x14ac:dyDescent="0.25">
      <c r="C53" s="34"/>
      <c r="D53" s="34"/>
      <c r="E53" s="34"/>
      <c r="F53" s="34"/>
      <c r="G53" s="34"/>
      <c r="H53" s="34"/>
      <c r="I53" s="34"/>
      <c r="J53" s="34"/>
    </row>
    <row r="54" spans="2:10" ht="13" customHeight="1" x14ac:dyDescent="0.3">
      <c r="B54" s="39" t="s">
        <v>64</v>
      </c>
      <c r="C54" s="69"/>
      <c r="D54" s="69"/>
      <c r="E54" s="70"/>
      <c r="F54" s="70"/>
      <c r="G54" s="70"/>
      <c r="H54" s="70"/>
      <c r="I54" s="70"/>
      <c r="J54" s="34"/>
    </row>
    <row r="55" spans="2:10" ht="13" customHeight="1" x14ac:dyDescent="0.25">
      <c r="B55" s="16"/>
      <c r="C55" s="34"/>
      <c r="D55" s="34"/>
      <c r="E55" s="34"/>
      <c r="F55" s="34"/>
      <c r="G55" s="34"/>
      <c r="H55" s="34"/>
      <c r="I55" s="34"/>
      <c r="J55" s="34"/>
    </row>
    <row r="56" spans="2:10" ht="13" customHeight="1" x14ac:dyDescent="0.25">
      <c r="B56" s="62" t="s">
        <v>65</v>
      </c>
      <c r="F56" s="34"/>
      <c r="G56" s="34"/>
      <c r="H56" s="34"/>
      <c r="I56" s="34"/>
      <c r="J56" s="34"/>
    </row>
    <row r="57" spans="2:10" ht="13" customHeight="1" x14ac:dyDescent="0.25">
      <c r="B57" s="3" t="s">
        <v>25</v>
      </c>
      <c r="C57" s="71"/>
      <c r="D57" s="71">
        <f>D28</f>
        <v>0</v>
      </c>
      <c r="E57" s="71">
        <f t="shared" ref="E57:I57" si="6">E28</f>
        <v>0</v>
      </c>
      <c r="F57" s="71">
        <f t="shared" si="6"/>
        <v>0</v>
      </c>
      <c r="G57" s="71">
        <f t="shared" si="6"/>
        <v>0</v>
      </c>
      <c r="H57" s="71">
        <f t="shared" si="6"/>
        <v>0</v>
      </c>
      <c r="I57" s="71">
        <f t="shared" si="6"/>
        <v>0</v>
      </c>
      <c r="J57" s="71"/>
    </row>
    <row r="58" spans="2:10" ht="13" customHeight="1" x14ac:dyDescent="0.25">
      <c r="B58" s="3" t="s">
        <v>12</v>
      </c>
      <c r="C58" s="71"/>
      <c r="D58" s="71">
        <f>D52</f>
        <v>0</v>
      </c>
      <c r="E58" s="71">
        <v>0</v>
      </c>
      <c r="F58" s="71">
        <v>0</v>
      </c>
      <c r="G58" s="71">
        <v>0</v>
      </c>
      <c r="H58" s="71">
        <v>0</v>
      </c>
      <c r="I58" s="71">
        <f>-I52</f>
        <v>0</v>
      </c>
      <c r="J58" s="71"/>
    </row>
    <row r="59" spans="2:10" ht="13" customHeight="1" x14ac:dyDescent="0.25">
      <c r="B59" s="3" t="s">
        <v>66</v>
      </c>
      <c r="C59" s="71"/>
      <c r="D59" s="71"/>
      <c r="E59" s="71">
        <f t="shared" ref="E59:I59" si="7">E47+E51</f>
        <v>0</v>
      </c>
      <c r="F59" s="71">
        <f t="shared" si="7"/>
        <v>0</v>
      </c>
      <c r="G59" s="71">
        <f t="shared" si="7"/>
        <v>0</v>
      </c>
      <c r="H59" s="71">
        <f t="shared" si="7"/>
        <v>0</v>
      </c>
      <c r="I59" s="71">
        <f t="shared" si="7"/>
        <v>0</v>
      </c>
      <c r="J59" s="71"/>
    </row>
    <row r="60" spans="2:10" ht="13" customHeight="1" x14ac:dyDescent="0.25">
      <c r="B60" s="72" t="s">
        <v>67</v>
      </c>
      <c r="C60" s="73"/>
      <c r="D60" s="73"/>
      <c r="E60" s="73"/>
      <c r="F60" s="73"/>
      <c r="G60" s="73"/>
      <c r="H60" s="73"/>
      <c r="I60" s="73">
        <f>D21*J32</f>
        <v>0</v>
      </c>
      <c r="J60" s="71"/>
    </row>
    <row r="61" spans="2:10" ht="13" customHeight="1" x14ac:dyDescent="0.25">
      <c r="B61" s="74" t="s">
        <v>68</v>
      </c>
      <c r="C61" s="74"/>
      <c r="D61" s="75">
        <f>SUM(D57:D60)</f>
        <v>0</v>
      </c>
      <c r="E61" s="75">
        <f t="shared" ref="E61:I61" si="8">SUM(E57:E60)</f>
        <v>0</v>
      </c>
      <c r="F61" s="75">
        <f t="shared" si="8"/>
        <v>0</v>
      </c>
      <c r="G61" s="75">
        <f t="shared" si="8"/>
        <v>0</v>
      </c>
      <c r="H61" s="75">
        <f t="shared" si="8"/>
        <v>0</v>
      </c>
      <c r="I61" s="75">
        <f t="shared" si="8"/>
        <v>0</v>
      </c>
      <c r="J61" s="76"/>
    </row>
    <row r="62" spans="2:10" ht="13" customHeight="1" x14ac:dyDescent="0.25">
      <c r="B62" s="16"/>
      <c r="D62" s="34"/>
      <c r="E62" s="34"/>
      <c r="F62" s="34"/>
      <c r="G62" s="34"/>
      <c r="H62" s="34"/>
    </row>
    <row r="63" spans="2:10" ht="13" customHeight="1" x14ac:dyDescent="0.25">
      <c r="B63" s="77" t="s">
        <v>69</v>
      </c>
      <c r="C63" s="78"/>
      <c r="D63" s="34"/>
      <c r="E63" s="34"/>
      <c r="F63" s="34"/>
      <c r="G63" s="34"/>
      <c r="H63" s="34"/>
    </row>
    <row r="64" spans="2:10" ht="13" customHeight="1" x14ac:dyDescent="0.25">
      <c r="B64" s="79" t="s">
        <v>70</v>
      </c>
      <c r="C64" s="80"/>
      <c r="D64" s="34"/>
      <c r="E64" s="34"/>
      <c r="F64" s="34"/>
      <c r="G64" s="34"/>
      <c r="H64" s="34"/>
    </row>
    <row r="65" spans="9:9" ht="13" customHeight="1" x14ac:dyDescent="0.25">
      <c r="I65" s="81"/>
    </row>
  </sheetData>
  <mergeCells count="1">
    <mergeCell ref="N6:N10"/>
  </mergeCells>
  <conditionalFormatting sqref="O6:T10">
    <cfRule type="expression" dxfId="1" priority="1">
      <formula>ISEVEN(ROW())</formula>
    </cfRule>
  </conditionalFormatting>
  <pageMargins left="0.7" right="0.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3D1B-53D0-4255-98F7-52EC96326D0B}">
  <sheetPr>
    <tabColor theme="4" tint="0.39997558519241921"/>
  </sheetPr>
  <dimension ref="B1:T65"/>
  <sheetViews>
    <sheetView showGridLines="0" view="pageBreakPreview" zoomScale="85" zoomScaleNormal="100" zoomScaleSheetLayoutView="85" workbookViewId="0">
      <selection activeCell="B8" sqref="B8"/>
    </sheetView>
  </sheetViews>
  <sheetFormatPr defaultColWidth="9.1796875" defaultRowHeight="13" customHeight="1" x14ac:dyDescent="0.25"/>
  <cols>
    <col min="1" max="1" width="5.54296875" style="3" customWidth="1"/>
    <col min="2" max="2" width="18" style="3" customWidth="1"/>
    <col min="3" max="3" width="9.1796875" style="3"/>
    <col min="4" max="4" width="11.1796875" style="3" customWidth="1"/>
    <col min="5" max="12" width="9.1796875" style="3"/>
    <col min="13" max="13" width="6.7265625" style="3" customWidth="1"/>
    <col min="14" max="14" width="4.54296875" style="3" customWidth="1"/>
    <col min="15" max="15" width="10.7265625" style="3" customWidth="1"/>
    <col min="16" max="20" width="13.7265625" style="3" customWidth="1"/>
    <col min="21" max="16384" width="9.1796875" style="3"/>
  </cols>
  <sheetData>
    <row r="1" spans="2:20" ht="13" customHeight="1" x14ac:dyDescent="0.25">
      <c r="L1" s="3" t="s">
        <v>6</v>
      </c>
      <c r="M1" s="4">
        <v>1</v>
      </c>
      <c r="N1" s="5"/>
    </row>
    <row r="2" spans="2:20" ht="13" customHeight="1" x14ac:dyDescent="0.25">
      <c r="B2" s="49" t="s">
        <v>7</v>
      </c>
      <c r="C2" s="50"/>
      <c r="D2" s="51"/>
      <c r="F2" s="6" t="s">
        <v>8</v>
      </c>
      <c r="G2" s="6"/>
      <c r="H2" s="6"/>
      <c r="I2" s="6"/>
      <c r="J2" s="6"/>
      <c r="K2" s="6"/>
      <c r="L2" s="6"/>
      <c r="N2" s="8" t="s">
        <v>9</v>
      </c>
      <c r="O2" s="8"/>
      <c r="P2" s="9"/>
      <c r="Q2" s="9"/>
      <c r="R2" s="9"/>
      <c r="S2" s="9"/>
      <c r="T2" s="9"/>
    </row>
    <row r="3" spans="2:20" ht="13" customHeight="1" x14ac:dyDescent="0.25">
      <c r="B3" s="47" t="s">
        <v>10</v>
      </c>
      <c r="C3" s="10"/>
      <c r="D3" s="10"/>
      <c r="F3" s="3" t="s">
        <v>11</v>
      </c>
      <c r="H3" s="11">
        <v>5</v>
      </c>
    </row>
    <row r="4" spans="2:20" ht="13" customHeight="1" x14ac:dyDescent="0.25">
      <c r="B4" s="3" t="s">
        <v>12</v>
      </c>
      <c r="D4" s="12">
        <v>0.6</v>
      </c>
      <c r="F4" s="3" t="s">
        <v>13</v>
      </c>
      <c r="H4" s="13">
        <v>40</v>
      </c>
      <c r="P4" s="14" t="s">
        <v>14</v>
      </c>
      <c r="Q4" s="14"/>
      <c r="R4" s="14"/>
      <c r="S4" s="14"/>
      <c r="T4" s="14"/>
    </row>
    <row r="5" spans="2:20" ht="13" customHeight="1" x14ac:dyDescent="0.25">
      <c r="B5" s="3" t="s">
        <v>15</v>
      </c>
      <c r="D5" s="15">
        <f>1-D4</f>
        <v>0.4</v>
      </c>
      <c r="E5" s="16"/>
      <c r="F5" s="17" t="s">
        <v>16</v>
      </c>
      <c r="G5" s="17"/>
      <c r="H5" s="18">
        <f>H4*H3</f>
        <v>200</v>
      </c>
      <c r="I5" s="16"/>
      <c r="N5" s="10"/>
      <c r="O5" s="19">
        <f ca="1">C64</f>
        <v>0.24674262246638468</v>
      </c>
      <c r="P5" s="20">
        <v>0.06</v>
      </c>
      <c r="Q5" s="21">
        <f>P5+2%</f>
        <v>0.08</v>
      </c>
      <c r="R5" s="21">
        <f t="shared" ref="R5:T5" si="0">Q5+2%</f>
        <v>0.1</v>
      </c>
      <c r="S5" s="21">
        <f t="shared" si="0"/>
        <v>0.12000000000000001</v>
      </c>
      <c r="T5" s="21">
        <f t="shared" si="0"/>
        <v>0.14000000000000001</v>
      </c>
    </row>
    <row r="6" spans="2:20" ht="13" customHeight="1" x14ac:dyDescent="0.25">
      <c r="B6" s="3" t="s">
        <v>17</v>
      </c>
      <c r="D6" s="22">
        <v>44926</v>
      </c>
      <c r="H6" s="23"/>
      <c r="N6" s="24" t="s">
        <v>18</v>
      </c>
      <c r="O6" s="25">
        <v>3</v>
      </c>
      <c r="P6" s="26">
        <f t="dataTable" ref="P6:T10" dt2D="1" dtr="1" r1="D11" r2="D21" ca="1"/>
        <v>-1.3185497266264057E-2</v>
      </c>
      <c r="Q6" s="27">
        <v>3.0241016869808623E-2</v>
      </c>
      <c r="R6" s="27">
        <v>6.9866782866877974E-2</v>
      </c>
      <c r="S6" s="27">
        <v>0.10665282438653167</v>
      </c>
      <c r="T6" s="27">
        <v>0.14124205223389863</v>
      </c>
    </row>
    <row r="7" spans="2:20" ht="13" customHeight="1" x14ac:dyDescent="0.25">
      <c r="B7" s="47" t="s">
        <v>19</v>
      </c>
      <c r="C7" s="10"/>
      <c r="D7" s="10"/>
      <c r="F7" s="16"/>
      <c r="J7" s="16"/>
      <c r="N7" s="28"/>
      <c r="O7" s="25">
        <f>O6+1</f>
        <v>4</v>
      </c>
      <c r="P7" s="26">
        <v>9.9231716789633051E-2</v>
      </c>
      <c r="Q7" s="27">
        <v>0.13641083830747336</v>
      </c>
      <c r="R7" s="27">
        <v>0.17154200071637926</v>
      </c>
      <c r="S7" s="27">
        <v>0.20503620710637582</v>
      </c>
      <c r="T7" s="27">
        <v>0.23719645109030685</v>
      </c>
    </row>
    <row r="8" spans="2:20" ht="13" customHeight="1" x14ac:dyDescent="0.25">
      <c r="B8" s="3" t="s">
        <v>20</v>
      </c>
      <c r="D8" s="29">
        <v>0.1</v>
      </c>
      <c r="F8" s="30" t="s">
        <v>21</v>
      </c>
      <c r="G8" s="31"/>
      <c r="H8" s="31"/>
      <c r="J8" s="30" t="s">
        <v>22</v>
      </c>
      <c r="K8" s="31"/>
      <c r="L8" s="31"/>
      <c r="N8" s="28"/>
      <c r="O8" s="25">
        <f t="shared" ref="O8:O10" si="1">O7+1</f>
        <v>5</v>
      </c>
      <c r="P8" s="26">
        <v>0.17857801990151723</v>
      </c>
      <c r="Q8" s="27">
        <v>0.21336035143092835</v>
      </c>
      <c r="R8" s="32">
        <v>0.24674156663981228</v>
      </c>
      <c r="S8" s="27">
        <v>0.27896811024458512</v>
      </c>
      <c r="T8" s="27">
        <v>0.31023027318394747</v>
      </c>
    </row>
    <row r="9" spans="2:20" ht="13" customHeight="1" x14ac:dyDescent="0.25">
      <c r="B9" s="3" t="s">
        <v>23</v>
      </c>
      <c r="D9" s="33">
        <v>100</v>
      </c>
      <c r="F9" s="3" t="s">
        <v>24</v>
      </c>
      <c r="H9" s="34">
        <f>D4*H5</f>
        <v>120</v>
      </c>
      <c r="J9" s="3" t="s">
        <v>25</v>
      </c>
      <c r="L9" s="23">
        <f>H5</f>
        <v>200</v>
      </c>
      <c r="N9" s="28"/>
      <c r="O9" s="25">
        <f t="shared" si="1"/>
        <v>6</v>
      </c>
      <c r="P9" s="26">
        <v>0.24097082294867378</v>
      </c>
      <c r="Q9" s="27">
        <v>0.27463924514510341</v>
      </c>
      <c r="R9" s="27">
        <v>0.30723760153833979</v>
      </c>
      <c r="S9" s="27">
        <v>0.33893863070661312</v>
      </c>
      <c r="T9" s="27">
        <v>0.36987937847932573</v>
      </c>
    </row>
    <row r="10" spans="2:20" ht="13" customHeight="1" x14ac:dyDescent="0.25">
      <c r="B10" s="3" t="s">
        <v>26</v>
      </c>
      <c r="D10" s="29">
        <v>0.4</v>
      </c>
      <c r="F10" s="3" t="s">
        <v>15</v>
      </c>
      <c r="H10" s="35">
        <f>D5*H5</f>
        <v>80</v>
      </c>
      <c r="N10" s="28"/>
      <c r="O10" s="25">
        <f t="shared" si="1"/>
        <v>7</v>
      </c>
      <c r="P10" s="26">
        <v>0.29287080081193495</v>
      </c>
      <c r="Q10" s="27">
        <v>0.32599433669370192</v>
      </c>
      <c r="R10" s="27">
        <v>0.35824814409174288</v>
      </c>
      <c r="S10" s="27">
        <v>0.38976437686461751</v>
      </c>
      <c r="T10" s="27">
        <v>0.42064977469184628</v>
      </c>
    </row>
    <row r="11" spans="2:20" ht="13" customHeight="1" x14ac:dyDescent="0.25">
      <c r="B11" s="3" t="s">
        <v>27</v>
      </c>
      <c r="D11" s="29">
        <v>0.1</v>
      </c>
      <c r="F11" s="36" t="s">
        <v>28</v>
      </c>
      <c r="G11" s="17"/>
      <c r="H11" s="37">
        <f>SUM(H9:H10)</f>
        <v>200</v>
      </c>
      <c r="J11" s="36" t="s">
        <v>29</v>
      </c>
      <c r="K11" s="17"/>
      <c r="L11" s="18">
        <f>SUM(L9:L10)</f>
        <v>200</v>
      </c>
      <c r="O11" s="38"/>
    </row>
    <row r="12" spans="2:20" ht="13" customHeight="1" x14ac:dyDescent="0.3">
      <c r="B12" s="3" t="s">
        <v>30</v>
      </c>
      <c r="D12" s="29">
        <v>0.15</v>
      </c>
      <c r="J12" s="39" t="s">
        <v>31</v>
      </c>
      <c r="L12" s="40" t="str">
        <f>IF(L11=H11,"True",L11-H11)</f>
        <v>True</v>
      </c>
    </row>
    <row r="13" spans="2:20" ht="13" customHeight="1" x14ac:dyDescent="0.25">
      <c r="B13" s="3" t="s">
        <v>32</v>
      </c>
      <c r="D13" s="33">
        <v>5</v>
      </c>
    </row>
    <row r="14" spans="2:20" ht="13" customHeight="1" x14ac:dyDescent="0.35">
      <c r="B14" s="3" t="s">
        <v>33</v>
      </c>
      <c r="D14" s="33">
        <v>20</v>
      </c>
      <c r="P14"/>
      <c r="Q14"/>
      <c r="R14"/>
      <c r="S14"/>
      <c r="T14"/>
    </row>
    <row r="15" spans="2:20" ht="13" customHeight="1" x14ac:dyDescent="0.35">
      <c r="B15" s="3" t="s">
        <v>34</v>
      </c>
      <c r="D15" s="29">
        <v>0.4</v>
      </c>
      <c r="P15"/>
      <c r="Q15"/>
      <c r="R15"/>
      <c r="S15"/>
      <c r="T15"/>
    </row>
    <row r="16" spans="2:20" ht="13" customHeight="1" x14ac:dyDescent="0.35">
      <c r="D16" s="29"/>
      <c r="P16"/>
      <c r="Q16"/>
      <c r="R16"/>
      <c r="S16"/>
      <c r="T16"/>
    </row>
    <row r="17" spans="2:20" ht="13" customHeight="1" x14ac:dyDescent="0.35">
      <c r="B17" s="41" t="s">
        <v>35</v>
      </c>
      <c r="C17" s="42"/>
      <c r="D17" s="43"/>
      <c r="P17"/>
      <c r="Q17"/>
      <c r="R17"/>
      <c r="S17"/>
      <c r="T17"/>
    </row>
    <row r="18" spans="2:20" ht="13" customHeight="1" x14ac:dyDescent="0.35">
      <c r="B18" s="44" t="s">
        <v>36</v>
      </c>
      <c r="C18" s="45"/>
      <c r="D18" s="46">
        <v>1</v>
      </c>
      <c r="P18"/>
      <c r="Q18"/>
      <c r="R18"/>
      <c r="S18"/>
      <c r="T18"/>
    </row>
    <row r="19" spans="2:20" ht="13" customHeight="1" x14ac:dyDescent="0.35">
      <c r="B19" s="39"/>
      <c r="D19" s="29"/>
      <c r="P19"/>
      <c r="Q19"/>
      <c r="R19"/>
      <c r="S19"/>
      <c r="T19"/>
    </row>
    <row r="20" spans="2:20" ht="13" customHeight="1" x14ac:dyDescent="0.35">
      <c r="B20" s="47" t="s">
        <v>37</v>
      </c>
      <c r="C20" s="10"/>
      <c r="D20" s="10"/>
      <c r="P20"/>
      <c r="Q20"/>
      <c r="R20"/>
      <c r="S20"/>
      <c r="T20"/>
    </row>
    <row r="21" spans="2:20" ht="13" customHeight="1" x14ac:dyDescent="0.35">
      <c r="B21" s="3" t="s">
        <v>38</v>
      </c>
      <c r="D21" s="11">
        <v>5</v>
      </c>
      <c r="P21"/>
      <c r="Q21"/>
      <c r="R21"/>
      <c r="S21"/>
      <c r="T21"/>
    </row>
    <row r="22" spans="2:20" ht="13" customHeight="1" x14ac:dyDescent="0.35">
      <c r="B22" s="3" t="s">
        <v>39</v>
      </c>
      <c r="D22" s="48" t="s">
        <v>40</v>
      </c>
      <c r="P22"/>
      <c r="Q22"/>
      <c r="R22"/>
      <c r="S22"/>
      <c r="T22"/>
    </row>
    <row r="23" spans="2:20" ht="13" customHeight="1" x14ac:dyDescent="0.35">
      <c r="D23" s="48"/>
      <c r="P23"/>
      <c r="Q23"/>
      <c r="R23"/>
      <c r="S23"/>
      <c r="T23"/>
    </row>
    <row r="24" spans="2:20" ht="13" customHeight="1" x14ac:dyDescent="0.25">
      <c r="B24" s="49" t="s">
        <v>41</v>
      </c>
      <c r="C24" s="50"/>
      <c r="D24" s="51"/>
      <c r="E24" s="50"/>
      <c r="F24" s="50"/>
      <c r="G24" s="50"/>
      <c r="H24" s="50"/>
      <c r="I24" s="50"/>
      <c r="J24" s="50"/>
    </row>
    <row r="25" spans="2:20" ht="13" customHeight="1" x14ac:dyDescent="0.25">
      <c r="B25" s="16"/>
    </row>
    <row r="26" spans="2:20" ht="13" customHeight="1" x14ac:dyDescent="0.25">
      <c r="B26" s="3" t="s">
        <v>42</v>
      </c>
      <c r="D26" s="52"/>
      <c r="E26" s="52">
        <v>1</v>
      </c>
      <c r="F26" s="52">
        <f t="shared" ref="F26:J27" si="2">E26+1</f>
        <v>2</v>
      </c>
      <c r="G26" s="52">
        <f t="shared" si="2"/>
        <v>3</v>
      </c>
      <c r="H26" s="52">
        <f t="shared" si="2"/>
        <v>4</v>
      </c>
      <c r="I26" s="52">
        <f t="shared" si="2"/>
        <v>5</v>
      </c>
      <c r="J26" s="52">
        <f t="shared" si="2"/>
        <v>6</v>
      </c>
    </row>
    <row r="27" spans="2:20" ht="13" customHeight="1" x14ac:dyDescent="0.25">
      <c r="B27" s="47" t="s">
        <v>43</v>
      </c>
      <c r="C27" s="47"/>
      <c r="D27" s="53" t="s">
        <v>44</v>
      </c>
      <c r="E27" s="47">
        <v>2023</v>
      </c>
      <c r="F27" s="47">
        <f>E27+1</f>
        <v>2024</v>
      </c>
      <c r="G27" s="47">
        <f t="shared" si="2"/>
        <v>2025</v>
      </c>
      <c r="H27" s="47">
        <f t="shared" si="2"/>
        <v>2026</v>
      </c>
      <c r="I27" s="47">
        <f>H27+1</f>
        <v>2027</v>
      </c>
      <c r="J27" s="47">
        <f t="shared" si="2"/>
        <v>2028</v>
      </c>
    </row>
    <row r="28" spans="2:20" ht="13" customHeight="1" x14ac:dyDescent="0.25">
      <c r="B28" s="3" t="s">
        <v>25</v>
      </c>
      <c r="D28" s="54">
        <f>-L9</f>
        <v>-200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</row>
    <row r="29" spans="2:20" ht="13" customHeight="1" x14ac:dyDescent="0.25">
      <c r="B29" s="56"/>
      <c r="C29" s="56"/>
      <c r="D29" s="57"/>
      <c r="E29" s="56"/>
      <c r="F29" s="56"/>
      <c r="G29" s="56"/>
      <c r="H29" s="56"/>
      <c r="I29" s="56"/>
      <c r="J29" s="56"/>
    </row>
    <row r="30" spans="2:20" ht="13" customHeight="1" x14ac:dyDescent="0.25">
      <c r="B30" s="3" t="s">
        <v>45</v>
      </c>
      <c r="C30" s="23"/>
      <c r="D30" s="23"/>
      <c r="E30" s="23">
        <f>D9</f>
        <v>100</v>
      </c>
      <c r="F30" s="23">
        <f>E30*(1+F31)</f>
        <v>110.00000000000001</v>
      </c>
      <c r="G30" s="23">
        <f t="shared" ref="G30:J30" si="3">F30*(1+G31)</f>
        <v>121.00000000000003</v>
      </c>
      <c r="H30" s="23">
        <f t="shared" si="3"/>
        <v>133.10000000000005</v>
      </c>
      <c r="I30" s="23">
        <f t="shared" si="3"/>
        <v>146.41000000000008</v>
      </c>
      <c r="J30" s="23">
        <f t="shared" si="3"/>
        <v>161.0510000000001</v>
      </c>
    </row>
    <row r="31" spans="2:20" ht="13" customHeight="1" x14ac:dyDescent="0.3">
      <c r="B31" s="58" t="s">
        <v>46</v>
      </c>
      <c r="F31" s="27">
        <f>$D$11</f>
        <v>0.1</v>
      </c>
      <c r="G31" s="27">
        <f t="shared" ref="G31:J31" si="4">$D$11</f>
        <v>0.1</v>
      </c>
      <c r="H31" s="27">
        <f t="shared" si="4"/>
        <v>0.1</v>
      </c>
      <c r="I31" s="27">
        <f t="shared" si="4"/>
        <v>0.1</v>
      </c>
      <c r="J31" s="27">
        <f t="shared" si="4"/>
        <v>0.1</v>
      </c>
    </row>
    <row r="32" spans="2:20" ht="13" customHeight="1" x14ac:dyDescent="0.25">
      <c r="B32" s="3" t="s">
        <v>47</v>
      </c>
      <c r="C32" s="35"/>
      <c r="D32" s="35"/>
      <c r="E32" s="35">
        <f>E30*E33</f>
        <v>40</v>
      </c>
      <c r="F32" s="35">
        <f t="shared" ref="F32:J32" si="5">F30*F33</f>
        <v>44.000000000000007</v>
      </c>
      <c r="G32" s="35">
        <f t="shared" si="5"/>
        <v>48.400000000000013</v>
      </c>
      <c r="H32" s="35">
        <f t="shared" si="5"/>
        <v>53.240000000000023</v>
      </c>
      <c r="I32" s="35">
        <f t="shared" si="5"/>
        <v>58.564000000000036</v>
      </c>
      <c r="J32" s="35">
        <f t="shared" si="5"/>
        <v>64.420400000000043</v>
      </c>
    </row>
    <row r="33" spans="2:10" ht="13" customHeight="1" x14ac:dyDescent="0.3">
      <c r="B33" s="58" t="s">
        <v>48</v>
      </c>
      <c r="C33" s="59"/>
      <c r="D33" s="59"/>
      <c r="E33" s="59">
        <f>D10</f>
        <v>0.4</v>
      </c>
      <c r="F33" s="59">
        <f>$E$33</f>
        <v>0.4</v>
      </c>
      <c r="G33" s="59">
        <f t="shared" ref="G33:J33" si="6">$E$33</f>
        <v>0.4</v>
      </c>
      <c r="H33" s="59">
        <f t="shared" si="6"/>
        <v>0.4</v>
      </c>
      <c r="I33" s="59">
        <f t="shared" si="6"/>
        <v>0.4</v>
      </c>
      <c r="J33" s="59">
        <f t="shared" si="6"/>
        <v>0.4</v>
      </c>
    </row>
    <row r="34" spans="2:10" ht="13" customHeight="1" x14ac:dyDescent="0.25">
      <c r="B34" s="3" t="s">
        <v>49</v>
      </c>
      <c r="C34" s="35"/>
      <c r="D34" s="35"/>
      <c r="E34" s="35">
        <f>$D$14*-1</f>
        <v>-20</v>
      </c>
      <c r="F34" s="35">
        <f t="shared" ref="F34:I34" si="7">$D$14*-1</f>
        <v>-20</v>
      </c>
      <c r="G34" s="35">
        <f t="shared" si="7"/>
        <v>-20</v>
      </c>
      <c r="H34" s="35">
        <f t="shared" si="7"/>
        <v>-20</v>
      </c>
      <c r="I34" s="35">
        <f t="shared" si="7"/>
        <v>-20</v>
      </c>
      <c r="J34" s="35"/>
    </row>
    <row r="35" spans="2:10" ht="13" customHeight="1" x14ac:dyDescent="0.25">
      <c r="B35" s="17" t="s">
        <v>50</v>
      </c>
      <c r="C35" s="60"/>
      <c r="D35" s="60"/>
      <c r="E35" s="60">
        <f>E32+E34</f>
        <v>20</v>
      </c>
      <c r="F35" s="60">
        <f t="shared" ref="F35:I35" si="8">F32+F34</f>
        <v>24.000000000000007</v>
      </c>
      <c r="G35" s="60">
        <f t="shared" si="8"/>
        <v>28.400000000000013</v>
      </c>
      <c r="H35" s="60">
        <f t="shared" si="8"/>
        <v>33.240000000000023</v>
      </c>
      <c r="I35" s="60">
        <f t="shared" si="8"/>
        <v>38.564000000000036</v>
      </c>
      <c r="J35" s="35"/>
    </row>
    <row r="36" spans="2:10" ht="13" customHeight="1" x14ac:dyDescent="0.25">
      <c r="B36" s="3" t="s">
        <v>51</v>
      </c>
      <c r="C36" s="35"/>
      <c r="D36" s="35"/>
      <c r="E36" s="35">
        <f ca="1">E54*-1*Circ</f>
        <v>-11.75257731958763</v>
      </c>
      <c r="F36" s="35">
        <f ca="1">F54*-1*Circ</f>
        <v>-11.19603571047643</v>
      </c>
      <c r="G36" s="35">
        <f ca="1">G54*-1*Circ</f>
        <v>-10.507646161339594</v>
      </c>
      <c r="H36" s="35">
        <f ca="1">H54*-1*Circ</f>
        <v>-9.6695101040924651</v>
      </c>
      <c r="I36" s="35">
        <f ca="1">I54*-1*Circ</f>
        <v>-8.6616036185772707</v>
      </c>
      <c r="J36" s="35"/>
    </row>
    <row r="37" spans="2:10" ht="13" customHeight="1" x14ac:dyDescent="0.25">
      <c r="B37" s="17" t="s">
        <v>52</v>
      </c>
      <c r="C37" s="60"/>
      <c r="D37" s="60"/>
      <c r="E37" s="60">
        <f ca="1">E36+E35</f>
        <v>8.2474226804123703</v>
      </c>
      <c r="F37" s="60">
        <f t="shared" ref="F37:I37" ca="1" si="9">F36+F35</f>
        <v>12.803964289523577</v>
      </c>
      <c r="G37" s="60">
        <f t="shared" ca="1" si="9"/>
        <v>17.892353838660419</v>
      </c>
      <c r="H37" s="60">
        <f t="shared" ca="1" si="9"/>
        <v>23.570489895907556</v>
      </c>
      <c r="I37" s="60">
        <f t="shared" ca="1" si="9"/>
        <v>29.902396381422765</v>
      </c>
      <c r="J37" s="35"/>
    </row>
    <row r="38" spans="2:10" ht="13" customHeight="1" x14ac:dyDescent="0.25">
      <c r="B38" s="3" t="s">
        <v>53</v>
      </c>
      <c r="C38" s="35"/>
      <c r="D38" s="35"/>
      <c r="E38" s="35">
        <f ca="1">E37*E39*-1</f>
        <v>-3.2989690721649483</v>
      </c>
      <c r="F38" s="35">
        <f t="shared" ref="F38:I38" ca="1" si="10">F37*F39*-1</f>
        <v>-5.1215857158094309</v>
      </c>
      <c r="G38" s="35">
        <f t="shared" ca="1" si="10"/>
        <v>-7.1569415354641679</v>
      </c>
      <c r="H38" s="35">
        <f t="shared" ca="1" si="10"/>
        <v>-9.4281959583630233</v>
      </c>
      <c r="I38" s="35">
        <f t="shared" ca="1" si="10"/>
        <v>-11.960958552569107</v>
      </c>
      <c r="J38" s="35"/>
    </row>
    <row r="39" spans="2:10" ht="13" customHeight="1" x14ac:dyDescent="0.3">
      <c r="B39" s="39" t="s">
        <v>54</v>
      </c>
      <c r="C39" s="59"/>
      <c r="D39" s="59"/>
      <c r="E39" s="59">
        <f>$D$15</f>
        <v>0.4</v>
      </c>
      <c r="F39" s="59">
        <f t="shared" ref="F39:I39" si="11">$D$15</f>
        <v>0.4</v>
      </c>
      <c r="G39" s="59">
        <f t="shared" si="11"/>
        <v>0.4</v>
      </c>
      <c r="H39" s="59">
        <f t="shared" si="11"/>
        <v>0.4</v>
      </c>
      <c r="I39" s="59">
        <f t="shared" si="11"/>
        <v>0.4</v>
      </c>
      <c r="J39" s="61"/>
    </row>
    <row r="40" spans="2:10" ht="13" customHeight="1" x14ac:dyDescent="0.3">
      <c r="B40" s="39"/>
      <c r="C40" s="59"/>
      <c r="D40" s="59"/>
      <c r="E40" s="59"/>
      <c r="F40" s="59"/>
      <c r="G40" s="59"/>
      <c r="H40" s="59"/>
      <c r="I40" s="59"/>
      <c r="J40" s="61"/>
    </row>
    <row r="41" spans="2:10" ht="13" customHeight="1" x14ac:dyDescent="0.25">
      <c r="B41" s="62" t="s">
        <v>55</v>
      </c>
    </row>
    <row r="42" spans="2:10" ht="13" customHeight="1" x14ac:dyDescent="0.25">
      <c r="B42" s="3" t="s">
        <v>47</v>
      </c>
      <c r="C42" s="35"/>
      <c r="D42" s="35"/>
      <c r="E42" s="35">
        <f>E32</f>
        <v>40</v>
      </c>
      <c r="F42" s="35">
        <f t="shared" ref="F42:I42" si="12">F32</f>
        <v>44.000000000000007</v>
      </c>
      <c r="G42" s="35">
        <f t="shared" si="12"/>
        <v>48.400000000000013</v>
      </c>
      <c r="H42" s="35">
        <f t="shared" si="12"/>
        <v>53.240000000000023</v>
      </c>
      <c r="I42" s="35">
        <f t="shared" si="12"/>
        <v>58.564000000000036</v>
      </c>
      <c r="J42" s="35"/>
    </row>
    <row r="43" spans="2:10" ht="13" customHeight="1" x14ac:dyDescent="0.25">
      <c r="B43" s="63" t="s">
        <v>56</v>
      </c>
      <c r="C43" s="35"/>
      <c r="D43" s="35"/>
      <c r="E43" s="35">
        <f ca="1">E38</f>
        <v>-3.2989690721649483</v>
      </c>
      <c r="F43" s="35">
        <f t="shared" ref="F43:I43" ca="1" si="13">F38</f>
        <v>-5.1215857158094309</v>
      </c>
      <c r="G43" s="35">
        <f t="shared" ca="1" si="13"/>
        <v>-7.1569415354641679</v>
      </c>
      <c r="H43" s="35">
        <f t="shared" ca="1" si="13"/>
        <v>-9.4281959583630233</v>
      </c>
      <c r="I43" s="35">
        <f t="shared" ca="1" si="13"/>
        <v>-11.960958552569107</v>
      </c>
      <c r="J43" s="35"/>
    </row>
    <row r="44" spans="2:10" ht="13" customHeight="1" x14ac:dyDescent="0.25">
      <c r="B44" s="63" t="s">
        <v>51</v>
      </c>
      <c r="C44" s="35"/>
      <c r="D44" s="35"/>
      <c r="E44" s="35">
        <f ca="1">E36</f>
        <v>-11.75257731958763</v>
      </c>
      <c r="F44" s="35">
        <f t="shared" ref="F44:I44" ca="1" si="14">F36</f>
        <v>-11.19603571047643</v>
      </c>
      <c r="G44" s="35">
        <f t="shared" ca="1" si="14"/>
        <v>-10.507646161339594</v>
      </c>
      <c r="H44" s="35">
        <f t="shared" ca="1" si="14"/>
        <v>-9.6695101040924651</v>
      </c>
      <c r="I44" s="35">
        <f t="shared" ca="1" si="14"/>
        <v>-8.6616036185772707</v>
      </c>
      <c r="J44" s="35"/>
    </row>
    <row r="45" spans="2:10" ht="13" customHeight="1" x14ac:dyDescent="0.25">
      <c r="B45" s="63" t="s">
        <v>57</v>
      </c>
      <c r="C45" s="35"/>
      <c r="D45" s="35"/>
      <c r="E45" s="35">
        <f>$D$12*E30*-1</f>
        <v>-15</v>
      </c>
      <c r="F45" s="35">
        <f t="shared" ref="F45:I45" si="15">$D$12*F30*-1</f>
        <v>-16.5</v>
      </c>
      <c r="G45" s="35">
        <f t="shared" si="15"/>
        <v>-18.150000000000002</v>
      </c>
      <c r="H45" s="35">
        <f t="shared" si="15"/>
        <v>-19.965000000000007</v>
      </c>
      <c r="I45" s="35">
        <f t="shared" si="15"/>
        <v>-21.961500000000012</v>
      </c>
      <c r="J45" s="35"/>
    </row>
    <row r="46" spans="2:10" ht="13" customHeight="1" x14ac:dyDescent="0.25">
      <c r="B46" s="63" t="s">
        <v>58</v>
      </c>
      <c r="C46" s="35"/>
      <c r="D46" s="35"/>
      <c r="E46" s="35">
        <f>$D$13*-1</f>
        <v>-5</v>
      </c>
      <c r="F46" s="35">
        <f t="shared" ref="F46:I46" si="16">$D$13*-1</f>
        <v>-5</v>
      </c>
      <c r="G46" s="35">
        <f t="shared" si="16"/>
        <v>-5</v>
      </c>
      <c r="H46" s="35">
        <f t="shared" si="16"/>
        <v>-5</v>
      </c>
      <c r="I46" s="35">
        <f t="shared" si="16"/>
        <v>-5</v>
      </c>
      <c r="J46" s="35"/>
    </row>
    <row r="47" spans="2:10" ht="13" customHeight="1" x14ac:dyDescent="0.25">
      <c r="B47" s="64" t="s">
        <v>59</v>
      </c>
      <c r="C47" s="65"/>
      <c r="D47" s="65"/>
      <c r="E47" s="65">
        <f ca="1">SUM(E42:E46)</f>
        <v>4.9484536082474193</v>
      </c>
      <c r="F47" s="65">
        <f t="shared" ref="F47:I47" ca="1" si="17">SUM(F42:F46)</f>
        <v>6.1823785737141463</v>
      </c>
      <c r="G47" s="65">
        <f t="shared" ca="1" si="17"/>
        <v>7.5854123031962466</v>
      </c>
      <c r="H47" s="65">
        <f t="shared" ca="1" si="17"/>
        <v>9.1772939375445297</v>
      </c>
      <c r="I47" s="65">
        <f t="shared" ca="1" si="17"/>
        <v>10.97993782885364</v>
      </c>
      <c r="J47" s="66"/>
    </row>
    <row r="48" spans="2:10" ht="13" customHeight="1" x14ac:dyDescent="0.25">
      <c r="B48" s="16"/>
    </row>
    <row r="49" spans="2:10" ht="13" customHeight="1" x14ac:dyDescent="0.25">
      <c r="B49" s="62" t="s">
        <v>60</v>
      </c>
    </row>
    <row r="50" spans="2:10" ht="13" customHeight="1" x14ac:dyDescent="0.25">
      <c r="B50" s="3" t="s">
        <v>61</v>
      </c>
      <c r="C50" s="34"/>
      <c r="D50" s="34"/>
      <c r="E50" s="34">
        <f>D52</f>
        <v>120</v>
      </c>
      <c r="F50" s="34">
        <f t="shared" ref="F50:I50" ca="1" si="18">E52</f>
        <v>115.05154639175258</v>
      </c>
      <c r="G50" s="34">
        <f t="shared" ca="1" si="18"/>
        <v>108.86916781777599</v>
      </c>
      <c r="H50" s="34">
        <f t="shared" ca="1" si="18"/>
        <v>101.28375541776389</v>
      </c>
      <c r="I50" s="34">
        <f t="shared" ca="1" si="18"/>
        <v>92.106449308080911</v>
      </c>
      <c r="J50" s="34"/>
    </row>
    <row r="51" spans="2:10" ht="13" customHeight="1" x14ac:dyDescent="0.25">
      <c r="B51" s="3" t="s">
        <v>62</v>
      </c>
      <c r="C51" s="35"/>
      <c r="D51" s="35"/>
      <c r="E51" s="35">
        <f ca="1">$D$18*E47*-1</f>
        <v>-4.9484536082474193</v>
      </c>
      <c r="F51" s="35">
        <f t="shared" ref="F51:I51" ca="1" si="19">$D$18*F47*-1</f>
        <v>-6.1823785737141463</v>
      </c>
      <c r="G51" s="35">
        <f t="shared" ca="1" si="19"/>
        <v>-7.5854123031962466</v>
      </c>
      <c r="H51" s="35">
        <f t="shared" ca="1" si="19"/>
        <v>-9.1772939375445297</v>
      </c>
      <c r="I51" s="35">
        <f t="shared" ca="1" si="19"/>
        <v>-10.97993782885364</v>
      </c>
      <c r="J51" s="67"/>
    </row>
    <row r="52" spans="2:10" ht="13" customHeight="1" x14ac:dyDescent="0.25">
      <c r="B52" s="64" t="s">
        <v>63</v>
      </c>
      <c r="C52" s="68"/>
      <c r="D52" s="68">
        <f>H9</f>
        <v>120</v>
      </c>
      <c r="E52" s="68">
        <f ca="1">SUM(E50:E51)</f>
        <v>115.05154639175258</v>
      </c>
      <c r="F52" s="68">
        <f t="shared" ref="F52:I52" ca="1" si="20">SUM(F50:F51)</f>
        <v>108.86916781803843</v>
      </c>
      <c r="G52" s="68">
        <f t="shared" ca="1" si="20"/>
        <v>101.28375551457974</v>
      </c>
      <c r="H52" s="68">
        <f t="shared" ca="1" si="20"/>
        <v>92.106461480219352</v>
      </c>
      <c r="I52" s="68">
        <f t="shared" ca="1" si="20"/>
        <v>81.126511479227275</v>
      </c>
      <c r="J52" s="34"/>
    </row>
    <row r="53" spans="2:10" ht="13" customHeight="1" x14ac:dyDescent="0.25">
      <c r="C53" s="34"/>
      <c r="D53" s="34"/>
      <c r="E53" s="34"/>
      <c r="F53" s="34"/>
      <c r="G53" s="34"/>
      <c r="H53" s="34"/>
      <c r="I53" s="34"/>
      <c r="J53" s="34"/>
    </row>
    <row r="54" spans="2:10" ht="13" customHeight="1" x14ac:dyDescent="0.3">
      <c r="B54" s="39" t="s">
        <v>64</v>
      </c>
      <c r="C54" s="69"/>
      <c r="D54" s="69"/>
      <c r="E54" s="70">
        <f ca="1">AVERAGE(E52,E50)*$D$8</f>
        <v>11.75257731958763</v>
      </c>
      <c r="F54" s="70">
        <f t="shared" ref="F54:I54" ca="1" si="21">AVERAGE(F52,F50)*$D$8</f>
        <v>11.196035710489552</v>
      </c>
      <c r="G54" s="70">
        <f t="shared" ca="1" si="21"/>
        <v>10.507646166617787</v>
      </c>
      <c r="H54" s="70">
        <f t="shared" ca="1" si="21"/>
        <v>9.6695108448991629</v>
      </c>
      <c r="I54" s="70">
        <f t="shared" ca="1" si="21"/>
        <v>8.6616480393654083</v>
      </c>
      <c r="J54" s="34"/>
    </row>
    <row r="55" spans="2:10" ht="13" customHeight="1" x14ac:dyDescent="0.25">
      <c r="B55" s="16"/>
      <c r="C55" s="34"/>
      <c r="D55" s="34"/>
      <c r="E55" s="34"/>
      <c r="F55" s="34"/>
      <c r="G55" s="34"/>
      <c r="H55" s="34"/>
      <c r="I55" s="34"/>
      <c r="J55" s="34"/>
    </row>
    <row r="56" spans="2:10" ht="13" customHeight="1" x14ac:dyDescent="0.25">
      <c r="B56" s="62" t="s">
        <v>65</v>
      </c>
      <c r="F56" s="34"/>
      <c r="G56" s="34"/>
      <c r="H56" s="34"/>
      <c r="I56" s="34"/>
      <c r="J56" s="34"/>
    </row>
    <row r="57" spans="2:10" ht="13" customHeight="1" x14ac:dyDescent="0.25">
      <c r="B57" s="3" t="s">
        <v>25</v>
      </c>
      <c r="C57" s="71"/>
      <c r="D57" s="71">
        <f>D28</f>
        <v>-200</v>
      </c>
      <c r="E57" s="71">
        <f t="shared" ref="E57:I57" si="22">E28</f>
        <v>0</v>
      </c>
      <c r="F57" s="71">
        <f t="shared" si="22"/>
        <v>0</v>
      </c>
      <c r="G57" s="71">
        <f t="shared" si="22"/>
        <v>0</v>
      </c>
      <c r="H57" s="71">
        <f t="shared" si="22"/>
        <v>0</v>
      </c>
      <c r="I57" s="71">
        <f t="shared" si="22"/>
        <v>0</v>
      </c>
      <c r="J57" s="71"/>
    </row>
    <row r="58" spans="2:10" ht="13" customHeight="1" x14ac:dyDescent="0.25">
      <c r="B58" s="3" t="s">
        <v>12</v>
      </c>
      <c r="C58" s="71"/>
      <c r="D58" s="71">
        <f>D52</f>
        <v>120</v>
      </c>
      <c r="E58" s="71">
        <v>0</v>
      </c>
      <c r="F58" s="71">
        <v>0</v>
      </c>
      <c r="G58" s="71">
        <v>0</v>
      </c>
      <c r="H58" s="71">
        <v>0</v>
      </c>
      <c r="I58" s="71">
        <f ca="1">-I52</f>
        <v>-81.126511479227275</v>
      </c>
      <c r="J58" s="71"/>
    </row>
    <row r="59" spans="2:10" ht="13" customHeight="1" x14ac:dyDescent="0.25">
      <c r="B59" s="3" t="s">
        <v>66</v>
      </c>
      <c r="C59" s="71"/>
      <c r="D59" s="71"/>
      <c r="E59" s="71">
        <f ca="1">E47+E51</f>
        <v>0</v>
      </c>
      <c r="F59" s="71">
        <f t="shared" ref="F59:I59" ca="1" si="23">F47+F51</f>
        <v>0</v>
      </c>
      <c r="G59" s="71">
        <f t="shared" ca="1" si="23"/>
        <v>0</v>
      </c>
      <c r="H59" s="71">
        <f t="shared" ca="1" si="23"/>
        <v>0</v>
      </c>
      <c r="I59" s="71">
        <f t="shared" ca="1" si="23"/>
        <v>0</v>
      </c>
      <c r="J59" s="71"/>
    </row>
    <row r="60" spans="2:10" ht="13" customHeight="1" x14ac:dyDescent="0.25">
      <c r="B60" s="72" t="s">
        <v>67</v>
      </c>
      <c r="C60" s="73"/>
      <c r="D60" s="73"/>
      <c r="E60" s="73"/>
      <c r="F60" s="73"/>
      <c r="G60" s="73"/>
      <c r="H60" s="73"/>
      <c r="I60" s="73">
        <f>D21*J32</f>
        <v>322.1020000000002</v>
      </c>
      <c r="J60" s="71"/>
    </row>
    <row r="61" spans="2:10" ht="13" customHeight="1" x14ac:dyDescent="0.25">
      <c r="B61" s="74" t="s">
        <v>68</v>
      </c>
      <c r="C61" s="74"/>
      <c r="D61" s="75">
        <f>SUM(D57:D60)</f>
        <v>-80</v>
      </c>
      <c r="E61" s="75">
        <f t="shared" ref="E61:I61" ca="1" si="24">SUM(E57:E60)</f>
        <v>0</v>
      </c>
      <c r="F61" s="75">
        <f t="shared" ca="1" si="24"/>
        <v>0</v>
      </c>
      <c r="G61" s="75">
        <f t="shared" ca="1" si="24"/>
        <v>0</v>
      </c>
      <c r="H61" s="75">
        <f t="shared" ca="1" si="24"/>
        <v>0</v>
      </c>
      <c r="I61" s="75">
        <f t="shared" ca="1" si="24"/>
        <v>240.97548852077293</v>
      </c>
      <c r="J61" s="76"/>
    </row>
    <row r="62" spans="2:10" ht="13" customHeight="1" x14ac:dyDescent="0.25">
      <c r="B62" s="16"/>
      <c r="D62" s="34"/>
      <c r="E62" s="34"/>
      <c r="F62" s="34"/>
      <c r="G62" s="34"/>
      <c r="H62" s="34"/>
    </row>
    <row r="63" spans="2:10" ht="13" customHeight="1" x14ac:dyDescent="0.25">
      <c r="B63" s="77" t="s">
        <v>69</v>
      </c>
      <c r="C63" s="78">
        <f ca="1">I61/H10</f>
        <v>3.0121936065096615</v>
      </c>
      <c r="D63" s="34"/>
      <c r="E63" s="34"/>
      <c r="F63" s="34"/>
      <c r="G63" s="34"/>
      <c r="H63" s="34"/>
    </row>
    <row r="64" spans="2:10" ht="13" customHeight="1" x14ac:dyDescent="0.25">
      <c r="B64" s="79" t="s">
        <v>70</v>
      </c>
      <c r="C64" s="80">
        <f ca="1">IRR(D61:I61)</f>
        <v>0.24674196074277344</v>
      </c>
      <c r="D64" s="34"/>
      <c r="E64" s="34"/>
      <c r="F64" s="34"/>
      <c r="G64" s="34"/>
      <c r="H64" s="34"/>
    </row>
    <row r="65" spans="9:9" ht="13" customHeight="1" x14ac:dyDescent="0.25">
      <c r="I65" s="81"/>
    </row>
  </sheetData>
  <mergeCells count="1">
    <mergeCell ref="N6:N10"/>
  </mergeCells>
  <conditionalFormatting sqref="O6:T10">
    <cfRule type="expression" dxfId="0" priority="1">
      <formula>ISEVEN(ROW())</formula>
    </cfRule>
  </conditionalFormatting>
  <pageMargins left="0.7" right="0.7" top="0.75" bottom="0.75" header="0.3" footer="0.3"/>
  <pageSetup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KEY NOTES</vt:lpstr>
      <vt:lpstr>BLANK MODEL</vt:lpstr>
      <vt:lpstr>ANSWER KEY</vt:lpstr>
      <vt:lpstr>'BLANK MODEL'!Circ</vt:lpstr>
      <vt:lpstr>Circ</vt:lpstr>
      <vt:lpstr>'ANSWER KEY'!Print_Area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</dc:creator>
  <cp:lastModifiedBy>Maddie</cp:lastModifiedBy>
  <dcterms:created xsi:type="dcterms:W3CDTF">2023-06-14T13:34:14Z</dcterms:created>
  <dcterms:modified xsi:type="dcterms:W3CDTF">2023-06-14T13:34:54Z</dcterms:modified>
</cp:coreProperties>
</file>